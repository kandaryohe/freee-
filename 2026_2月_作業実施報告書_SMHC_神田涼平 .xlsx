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ddc1e9e1a7f6297/デスクトップ/神田_作業用/"/>
    </mc:Choice>
  </mc:AlternateContent>
  <xr:revisionPtr revIDLastSave="95" documentId="13_ncr:1_{2E16B6E0-9880-4BE7-B889-B6024B53E270}" xr6:coauthVersionLast="47" xr6:coauthVersionMax="47" xr10:uidLastSave="{33693BDD-EDB2-43A1-BFAD-CA42FC289FF4}"/>
  <bookViews>
    <workbookView xWindow="-108" yWindow="-108" windowWidth="23256" windowHeight="12456" xr2:uid="{00000000-000D-0000-FFFF-FFFF00000000}"/>
  </bookViews>
  <sheets>
    <sheet name="作業実施報告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fjxjQPR7uIwGfuYAOwj4LdAQccqLw6rqHFKiY8QXys="/>
    </ext>
  </extLst>
</workbook>
</file>

<file path=xl/calcChain.xml><?xml version="1.0" encoding="utf-8"?>
<calcChain xmlns="http://schemas.openxmlformats.org/spreadsheetml/2006/main">
  <c r="H32" i="1" l="1"/>
  <c r="G47" i="1"/>
  <c r="G45" i="1"/>
  <c r="G43" i="1"/>
  <c r="E40" i="1"/>
  <c r="C39" i="1"/>
  <c r="T38" i="1"/>
  <c r="U38" i="1" s="1"/>
  <c r="P38" i="1"/>
  <c r="Q38" i="1" s="1"/>
  <c r="R38" i="1" s="1"/>
  <c r="E38" i="1" s="1"/>
  <c r="D38" i="1"/>
  <c r="C38" i="1"/>
  <c r="T37" i="1"/>
  <c r="U37" i="1" s="1"/>
  <c r="P37" i="1"/>
  <c r="Q37" i="1" s="1"/>
  <c r="R37" i="1" s="1"/>
  <c r="E37" i="1" s="1"/>
  <c r="D37" i="1"/>
  <c r="C37" i="1"/>
  <c r="T36" i="1"/>
  <c r="U36" i="1" s="1"/>
  <c r="P36" i="1"/>
  <c r="Q36" i="1" s="1"/>
  <c r="R36" i="1" s="1"/>
  <c r="E36" i="1" s="1"/>
  <c r="D36" i="1"/>
  <c r="C36" i="1"/>
  <c r="T35" i="1"/>
  <c r="U35" i="1" s="1"/>
  <c r="P35" i="1"/>
  <c r="Q35" i="1" s="1"/>
  <c r="R35" i="1" s="1"/>
  <c r="E35" i="1" s="1"/>
  <c r="D35" i="1"/>
  <c r="C35" i="1"/>
  <c r="T34" i="1"/>
  <c r="U34" i="1" s="1"/>
  <c r="P34" i="1"/>
  <c r="Q34" i="1" s="1"/>
  <c r="R34" i="1" s="1"/>
  <c r="E34" i="1" s="1"/>
  <c r="D34" i="1"/>
  <c r="C34" i="1"/>
  <c r="T33" i="1"/>
  <c r="U33" i="1" s="1"/>
  <c r="P33" i="1"/>
  <c r="Q33" i="1" s="1"/>
  <c r="R33" i="1" s="1"/>
  <c r="E33" i="1" s="1"/>
  <c r="D33" i="1"/>
  <c r="C33" i="1"/>
  <c r="T32" i="1"/>
  <c r="U32" i="1" s="1"/>
  <c r="P32" i="1"/>
  <c r="Q32" i="1" s="1"/>
  <c r="R32" i="1" s="1"/>
  <c r="E32" i="1" s="1"/>
  <c r="D32" i="1"/>
  <c r="C32" i="1"/>
  <c r="T31" i="1"/>
  <c r="U31" i="1" s="1"/>
  <c r="P31" i="1"/>
  <c r="Q31" i="1" s="1"/>
  <c r="R31" i="1" s="1"/>
  <c r="E31" i="1" s="1"/>
  <c r="D31" i="1"/>
  <c r="C31" i="1"/>
  <c r="T30" i="1"/>
  <c r="U30" i="1" s="1"/>
  <c r="P30" i="1"/>
  <c r="Q30" i="1" s="1"/>
  <c r="R30" i="1" s="1"/>
  <c r="E30" i="1" s="1"/>
  <c r="D30" i="1"/>
  <c r="C30" i="1"/>
  <c r="T29" i="1"/>
  <c r="U29" i="1" s="1"/>
  <c r="P29" i="1"/>
  <c r="Q29" i="1" s="1"/>
  <c r="R29" i="1" s="1"/>
  <c r="E29" i="1" s="1"/>
  <c r="D29" i="1"/>
  <c r="C29" i="1"/>
  <c r="T28" i="1"/>
  <c r="U28" i="1" s="1"/>
  <c r="P28" i="1"/>
  <c r="Q28" i="1" s="1"/>
  <c r="R28" i="1" s="1"/>
  <c r="E28" i="1" s="1"/>
  <c r="D28" i="1"/>
  <c r="C28" i="1"/>
  <c r="T27" i="1"/>
  <c r="U27" i="1" s="1"/>
  <c r="P27" i="1"/>
  <c r="Q27" i="1" s="1"/>
  <c r="R27" i="1" s="1"/>
  <c r="E27" i="1" s="1"/>
  <c r="D27" i="1"/>
  <c r="C27" i="1"/>
  <c r="T26" i="1"/>
  <c r="U26" i="1" s="1"/>
  <c r="P26" i="1"/>
  <c r="Q26" i="1" s="1"/>
  <c r="R26" i="1" s="1"/>
  <c r="E26" i="1" s="1"/>
  <c r="D26" i="1"/>
  <c r="C26" i="1"/>
  <c r="T25" i="1"/>
  <c r="U25" i="1" s="1"/>
  <c r="P25" i="1"/>
  <c r="Q25" i="1" s="1"/>
  <c r="R25" i="1" s="1"/>
  <c r="E25" i="1" s="1"/>
  <c r="D25" i="1"/>
  <c r="C25" i="1"/>
  <c r="T24" i="1"/>
  <c r="U24" i="1" s="1"/>
  <c r="P24" i="1"/>
  <c r="Q24" i="1" s="1"/>
  <c r="R24" i="1" s="1"/>
  <c r="E24" i="1" s="1"/>
  <c r="D24" i="1"/>
  <c r="C24" i="1"/>
  <c r="T23" i="1"/>
  <c r="U23" i="1" s="1"/>
  <c r="P23" i="1"/>
  <c r="Q23" i="1" s="1"/>
  <c r="R23" i="1" s="1"/>
  <c r="E23" i="1" s="1"/>
  <c r="D23" i="1"/>
  <c r="C23" i="1"/>
  <c r="T22" i="1"/>
  <c r="U22" i="1" s="1"/>
  <c r="P22" i="1"/>
  <c r="Q22" i="1" s="1"/>
  <c r="R22" i="1" s="1"/>
  <c r="E22" i="1" s="1"/>
  <c r="D22" i="1"/>
  <c r="C22" i="1"/>
  <c r="T21" i="1"/>
  <c r="U21" i="1" s="1"/>
  <c r="P21" i="1"/>
  <c r="Q21" i="1" s="1"/>
  <c r="R21" i="1" s="1"/>
  <c r="E21" i="1" s="1"/>
  <c r="D21" i="1"/>
  <c r="C21" i="1"/>
  <c r="T20" i="1"/>
  <c r="U20" i="1" s="1"/>
  <c r="P20" i="1"/>
  <c r="Q20" i="1" s="1"/>
  <c r="R20" i="1" s="1"/>
  <c r="E20" i="1" s="1"/>
  <c r="D20" i="1"/>
  <c r="C20" i="1"/>
  <c r="T19" i="1"/>
  <c r="U19" i="1" s="1"/>
  <c r="P19" i="1"/>
  <c r="Q19" i="1" s="1"/>
  <c r="R19" i="1" s="1"/>
  <c r="E19" i="1" s="1"/>
  <c r="D19" i="1"/>
  <c r="C19" i="1"/>
  <c r="T18" i="1"/>
  <c r="U18" i="1" s="1"/>
  <c r="P18" i="1"/>
  <c r="Q18" i="1" s="1"/>
  <c r="R18" i="1" s="1"/>
  <c r="E18" i="1" s="1"/>
  <c r="D18" i="1"/>
  <c r="C18" i="1"/>
  <c r="T17" i="1"/>
  <c r="U17" i="1" s="1"/>
  <c r="P17" i="1"/>
  <c r="Q17" i="1" s="1"/>
  <c r="R17" i="1" s="1"/>
  <c r="E17" i="1" s="1"/>
  <c r="D17" i="1"/>
  <c r="C17" i="1"/>
  <c r="T16" i="1"/>
  <c r="U16" i="1" s="1"/>
  <c r="P16" i="1"/>
  <c r="Q16" i="1" s="1"/>
  <c r="R16" i="1" s="1"/>
  <c r="E16" i="1" s="1"/>
  <c r="D16" i="1"/>
  <c r="C16" i="1"/>
  <c r="T15" i="1"/>
  <c r="U15" i="1" s="1"/>
  <c r="P15" i="1"/>
  <c r="Q15" i="1" s="1"/>
  <c r="R15" i="1" s="1"/>
  <c r="E15" i="1" s="1"/>
  <c r="D15" i="1"/>
  <c r="C15" i="1"/>
  <c r="T14" i="1"/>
  <c r="U14" i="1" s="1"/>
  <c r="P14" i="1"/>
  <c r="Q14" i="1" s="1"/>
  <c r="R14" i="1" s="1"/>
  <c r="E14" i="1" s="1"/>
  <c r="D14" i="1"/>
  <c r="C14" i="1"/>
  <c r="T13" i="1"/>
  <c r="U13" i="1" s="1"/>
  <c r="P13" i="1"/>
  <c r="Q13" i="1" s="1"/>
  <c r="R13" i="1" s="1"/>
  <c r="E13" i="1" s="1"/>
  <c r="D13" i="1"/>
  <c r="C13" i="1"/>
  <c r="T12" i="1"/>
  <c r="U12" i="1" s="1"/>
  <c r="P12" i="1"/>
  <c r="Q12" i="1" s="1"/>
  <c r="R12" i="1" s="1"/>
  <c r="E12" i="1" s="1"/>
  <c r="D12" i="1"/>
  <c r="C12" i="1"/>
  <c r="T11" i="1"/>
  <c r="U11" i="1" s="1"/>
  <c r="P11" i="1"/>
  <c r="Q11" i="1" s="1"/>
  <c r="R11" i="1" s="1"/>
  <c r="E11" i="1" s="1"/>
  <c r="D11" i="1"/>
  <c r="C11" i="1"/>
  <c r="T10" i="1"/>
  <c r="U10" i="1" s="1"/>
  <c r="P10" i="1"/>
  <c r="Q10" i="1" s="1"/>
  <c r="R10" i="1" s="1"/>
  <c r="E10" i="1" s="1"/>
  <c r="D10" i="1"/>
  <c r="C10" i="1"/>
  <c r="T9" i="1"/>
  <c r="U9" i="1" s="1"/>
  <c r="P9" i="1"/>
  <c r="Q9" i="1" s="1"/>
  <c r="R9" i="1" s="1"/>
  <c r="E9" i="1" s="1"/>
  <c r="K9" i="1"/>
  <c r="K10" i="1" s="1"/>
  <c r="D9" i="1"/>
  <c r="C9" i="1"/>
  <c r="T8" i="1"/>
  <c r="U8" i="1" s="1"/>
  <c r="P8" i="1"/>
  <c r="Q8" i="1" s="1"/>
  <c r="R8" i="1" s="1"/>
  <c r="E8" i="1" s="1"/>
  <c r="L8" i="1"/>
  <c r="J8" i="1"/>
  <c r="H8" i="1"/>
  <c r="D8" i="1"/>
  <c r="C8" i="1"/>
  <c r="A8" i="1"/>
  <c r="B8" i="1" s="1"/>
  <c r="C5" i="1"/>
  <c r="C4" i="1"/>
  <c r="C3" i="1"/>
  <c r="A1" i="1"/>
  <c r="L9" i="1" l="1"/>
  <c r="A9" i="1"/>
  <c r="B9" i="1" s="1"/>
  <c r="J9" i="1"/>
  <c r="R39" i="1"/>
  <c r="E41" i="1" s="1"/>
  <c r="U39" i="1"/>
  <c r="K11" i="1"/>
  <c r="K12" i="1" s="1"/>
  <c r="L12" i="1" s="1"/>
  <c r="H10" i="1"/>
  <c r="J10" i="1"/>
  <c r="L10" i="1"/>
  <c r="A10" i="1"/>
  <c r="B10" i="1" s="1"/>
  <c r="H9" i="1"/>
  <c r="K13" i="1" l="1"/>
  <c r="L13" i="1" s="1"/>
  <c r="H11" i="1"/>
  <c r="L11" i="1"/>
  <c r="A11" i="1"/>
  <c r="B11" i="1" s="1"/>
  <c r="J11" i="1"/>
  <c r="J12" i="1" l="1"/>
  <c r="H12" i="1"/>
  <c r="A12" i="1"/>
  <c r="B12" i="1" s="1"/>
  <c r="A13" i="1" l="1"/>
  <c r="B13" i="1" s="1"/>
  <c r="J13" i="1"/>
  <c r="K14" i="1"/>
  <c r="H14" i="1" s="1"/>
  <c r="H13" i="1"/>
  <c r="K15" i="1" l="1"/>
  <c r="L14" i="1"/>
  <c r="A14" i="1"/>
  <c r="B14" i="1" s="1"/>
  <c r="J14" i="1"/>
  <c r="K16" i="1" l="1"/>
  <c r="H16" i="1" s="1"/>
  <c r="H15" i="1"/>
  <c r="J15" i="1"/>
  <c r="L15" i="1"/>
  <c r="A15" i="1"/>
  <c r="B15" i="1" s="1"/>
  <c r="J16" i="1" l="1"/>
  <c r="L16" i="1"/>
  <c r="A16" i="1"/>
  <c r="B16" i="1" s="1"/>
  <c r="K17" i="1"/>
  <c r="J17" i="1" l="1"/>
  <c r="L17" i="1"/>
  <c r="A17" i="1"/>
  <c r="B17" i="1" s="1"/>
  <c r="K18" i="1"/>
  <c r="K19" i="1" s="1"/>
  <c r="H19" i="1" s="1"/>
  <c r="H17" i="1"/>
  <c r="L19" i="1" l="1"/>
  <c r="K20" i="1"/>
  <c r="L20" i="1" s="1"/>
  <c r="H18" i="1"/>
  <c r="L18" i="1"/>
  <c r="A18" i="1"/>
  <c r="B18" i="1" s="1"/>
  <c r="J18" i="1"/>
  <c r="A19" i="1" l="1"/>
  <c r="B19" i="1" s="1"/>
  <c r="J19" i="1"/>
  <c r="J20" i="1" l="1"/>
  <c r="K21" i="1"/>
  <c r="H20" i="1"/>
  <c r="A20" i="1"/>
  <c r="B20" i="1" s="1"/>
  <c r="L21" i="1" l="1"/>
  <c r="A21" i="1"/>
  <c r="B21" i="1" s="1"/>
  <c r="J21" i="1"/>
  <c r="K22" i="1"/>
  <c r="H21" i="1"/>
  <c r="K23" i="1" l="1"/>
  <c r="H22" i="1"/>
  <c r="L22" i="1"/>
  <c r="A22" i="1"/>
  <c r="B22" i="1" s="1"/>
  <c r="J22" i="1"/>
  <c r="K24" i="1" l="1"/>
  <c r="H23" i="1"/>
  <c r="L23" i="1"/>
  <c r="A23" i="1"/>
  <c r="B23" i="1" s="1"/>
  <c r="J23" i="1"/>
  <c r="J24" i="1" l="1"/>
  <c r="L24" i="1"/>
  <c r="K25" i="1"/>
  <c r="K26" i="1" s="1"/>
  <c r="H24" i="1"/>
  <c r="A24" i="1"/>
  <c r="B24" i="1" s="1"/>
  <c r="L26" i="1" l="1"/>
  <c r="K27" i="1"/>
  <c r="H27" i="1" s="1"/>
  <c r="L25" i="1"/>
  <c r="A25" i="1"/>
  <c r="B25" i="1" s="1"/>
  <c r="J25" i="1"/>
  <c r="H25" i="1"/>
  <c r="K28" i="1" l="1"/>
  <c r="L28" i="1" s="1"/>
  <c r="L27" i="1"/>
  <c r="H26" i="1"/>
  <c r="A26" i="1"/>
  <c r="B26" i="1" s="1"/>
  <c r="J26" i="1"/>
  <c r="A27" i="1" l="1"/>
  <c r="B27" i="1" s="1"/>
  <c r="J27" i="1"/>
  <c r="A28" i="1" l="1"/>
  <c r="B28" i="1" s="1"/>
  <c r="J28" i="1"/>
  <c r="K29" i="1"/>
  <c r="H28" i="1"/>
  <c r="L29" i="1" l="1"/>
  <c r="A29" i="1"/>
  <c r="B29" i="1" s="1"/>
  <c r="J29" i="1"/>
  <c r="K30" i="1"/>
  <c r="K31" i="1" l="1"/>
  <c r="H31" i="1" s="1"/>
  <c r="H30" i="1"/>
  <c r="L30" i="1"/>
  <c r="A30" i="1"/>
  <c r="B30" i="1" s="1"/>
  <c r="J30" i="1"/>
  <c r="K32" i="1" l="1"/>
  <c r="L31" i="1"/>
  <c r="A31" i="1"/>
  <c r="B31" i="1" s="1"/>
  <c r="J31" i="1"/>
  <c r="J32" i="1" l="1"/>
  <c r="K33" i="1"/>
  <c r="L32" i="1"/>
  <c r="A32" i="1"/>
  <c r="B32" i="1" s="1"/>
  <c r="L33" i="1" l="1"/>
  <c r="A33" i="1"/>
  <c r="B33" i="1" s="1"/>
  <c r="J33" i="1"/>
  <c r="K34" i="1"/>
  <c r="H33" i="1"/>
  <c r="K35" i="1" l="1"/>
  <c r="H34" i="1"/>
  <c r="L34" i="1"/>
  <c r="A34" i="1"/>
  <c r="B34" i="1" s="1"/>
  <c r="J34" i="1"/>
  <c r="J35" i="1" l="1"/>
  <c r="K36" i="1"/>
  <c r="H35" i="1"/>
  <c r="L35" i="1"/>
  <c r="A35" i="1"/>
  <c r="B35" i="1" s="1"/>
  <c r="L36" i="1" l="1"/>
  <c r="A36" i="1"/>
  <c r="B36" i="1" s="1"/>
  <c r="J36" i="1"/>
  <c r="K37" i="1"/>
  <c r="H36" i="1"/>
  <c r="L37" i="1" l="1"/>
  <c r="A37" i="1"/>
  <c r="B37" i="1" s="1"/>
  <c r="J37" i="1"/>
  <c r="K38" i="1"/>
  <c r="H37" i="1"/>
  <c r="H38" i="1" l="1"/>
  <c r="L38" i="1"/>
  <c r="A38" i="1"/>
  <c r="B38" i="1" s="1"/>
  <c r="J38" i="1"/>
</calcChain>
</file>

<file path=xl/sharedStrings.xml><?xml version="1.0" encoding="utf-8"?>
<sst xmlns="http://schemas.openxmlformats.org/spreadsheetml/2006/main" count="90" uniqueCount="64">
  <si>
    <t>赤枠のみ入力</t>
  </si>
  <si>
    <t>勤務時間：</t>
  </si>
  <si>
    <t>9:30-18:00（客先が7.5h）</t>
  </si>
  <si>
    <r>
      <rPr>
        <sz val="11"/>
        <color theme="1"/>
        <rFont val="MS Gothic"/>
        <family val="2"/>
        <charset val="128"/>
      </rPr>
      <t>定時が17:30ではない場合は、T列（</t>
    </r>
    <r>
      <rPr>
        <sz val="11"/>
        <color rgb="FFFF0000"/>
        <rFont val="ＭＳ ゴシック"/>
        <family val="2"/>
        <charset val="128"/>
      </rPr>
      <t>※</t>
    </r>
    <r>
      <rPr>
        <sz val="11"/>
        <color theme="1"/>
        <rFont val="ＭＳ ゴシック"/>
        <family val="2"/>
        <charset val="128"/>
      </rPr>
      <t>）で17:30となっている箇所をすべて正しい定時に修正してください。</t>
    </r>
  </si>
  <si>
    <t>契約名</t>
  </si>
  <si>
    <t>実動＝（終業時刻―始業時刻）－（昼休憩－定時後休憩）</t>
  </si>
  <si>
    <t>社名</t>
  </si>
  <si>
    <t>SMHC株式会社</t>
  </si>
  <si>
    <r>
      <rPr>
        <sz val="11"/>
        <color theme="1"/>
        <rFont val="MS Gothic"/>
        <family val="2"/>
        <charset val="128"/>
      </rPr>
      <t>残業時間＝終了時刻―18:00／T列（</t>
    </r>
    <r>
      <rPr>
        <sz val="11"/>
        <color rgb="FFFF0000"/>
        <rFont val="ＭＳ ゴシック"/>
        <family val="2"/>
        <charset val="128"/>
      </rPr>
      <t>※</t>
    </r>
    <r>
      <rPr>
        <sz val="11"/>
        <color theme="1"/>
        <rFont val="ＭＳ ゴシック"/>
        <family val="2"/>
        <charset val="128"/>
      </rPr>
      <t>）で時刻→時間に変換してます。</t>
    </r>
  </si>
  <si>
    <t>氏名</t>
  </si>
  <si>
    <t>※</t>
  </si>
  <si>
    <t>日付</t>
  </si>
  <si>
    <t>始業
時刻</t>
  </si>
  <si>
    <t>終業
時刻</t>
  </si>
  <si>
    <t>実働(h)</t>
  </si>
  <si>
    <t>作業内容</t>
  </si>
  <si>
    <t>備考</t>
  </si>
  <si>
    <t>祝日</t>
  </si>
  <si>
    <t>昼休憩(h)</t>
  </si>
  <si>
    <t>終-開
（hh:mm）</t>
  </si>
  <si>
    <t>終-開(h)</t>
  </si>
  <si>
    <t>定時後休憩</t>
  </si>
  <si>
    <t>終-18:00（hh:mm）</t>
  </si>
  <si>
    <t>残業
時間</t>
  </si>
  <si>
    <t>休日</t>
  </si>
  <si>
    <t>休暇</t>
  </si>
  <si>
    <t>SEカレッジ</t>
  </si>
  <si>
    <t>帰社</t>
  </si>
  <si>
    <t>元日</t>
  </si>
  <si>
    <t>年末年始</t>
  </si>
  <si>
    <t>成人の日</t>
  </si>
  <si>
    <t>建国記念の日</t>
  </si>
  <si>
    <t>天皇誕生日(振替)</t>
  </si>
  <si>
    <t>春分の日</t>
  </si>
  <si>
    <t>昭和の日</t>
  </si>
  <si>
    <t>ソフトバンク恩人感謝の日</t>
  </si>
  <si>
    <t>憲法記念日</t>
  </si>
  <si>
    <t>みどりの日</t>
  </si>
  <si>
    <t>こどもの日</t>
  </si>
  <si>
    <t>振替休日（みどりの日）</t>
  </si>
  <si>
    <t>海の日</t>
  </si>
  <si>
    <t>山の日</t>
  </si>
  <si>
    <t>敬老の日</t>
  </si>
  <si>
    <t>秋分の日</t>
  </si>
  <si>
    <t>スポーツの日</t>
  </si>
  <si>
    <t>文化の日</t>
  </si>
  <si>
    <t>勤労感謝の日(振替)</t>
  </si>
  <si>
    <t>出勤日数</t>
  </si>
  <si>
    <t>総労働時間(h)</t>
  </si>
  <si>
    <t>入力列</t>
  </si>
  <si>
    <t>所属：</t>
  </si>
  <si>
    <t>株式会社ニーズウェル</t>
  </si>
  <si>
    <t>役職：</t>
  </si>
  <si>
    <t>先方に確認して入力</t>
  </si>
  <si>
    <t>氏名：</t>
  </si>
  <si>
    <t>印</t>
  </si>
  <si>
    <t>この列には入力しないこと</t>
  </si>
  <si>
    <t>下川</t>
    <rPh sb="0" eb="2">
      <t>シモカワ</t>
    </rPh>
    <phoneticPr fontId="16"/>
  </si>
  <si>
    <t>泰裕</t>
    <rPh sb="0" eb="1">
      <t>ヤスヒロ</t>
    </rPh>
    <rPh sb="1" eb="2">
      <t>ユウスケ</t>
    </rPh>
    <phoneticPr fontId="16"/>
  </si>
  <si>
    <t>神田</t>
    <rPh sb="0" eb="2">
      <t>カンダ</t>
    </rPh>
    <phoneticPr fontId="16"/>
  </si>
  <si>
    <t>涼平</t>
    <rPh sb="0" eb="2">
      <t>リョウヘイ</t>
    </rPh>
    <phoneticPr fontId="16"/>
  </si>
  <si>
    <t>日本年金機構様の対応</t>
    <rPh sb="0" eb="4">
      <t>ニホンネンキン</t>
    </rPh>
    <rPh sb="4" eb="6">
      <t>キコウ</t>
    </rPh>
    <rPh sb="6" eb="7">
      <t>サマ</t>
    </rPh>
    <rPh sb="8" eb="10">
      <t>タイオウ</t>
    </rPh>
    <phoneticPr fontId="16"/>
  </si>
  <si>
    <t>RPA・AI-OCR導入支援業務</t>
    <phoneticPr fontId="16"/>
  </si>
  <si>
    <t>熊谷市役所対応</t>
    <rPh sb="0" eb="2">
      <t>クマガヤ</t>
    </rPh>
    <rPh sb="2" eb="5">
      <t>シヤクショ</t>
    </rPh>
    <rPh sb="5" eb="7">
      <t>タイオウ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</si>
</sst>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&quot;年&quot;m&quot;月分&quot;"/>
    <numFmt numFmtId="177" formatCode="d"/>
    <numFmt numFmtId="178" formatCode="ddd"/>
    <numFmt numFmtId="179" formatCode="[h]:mm"/>
    <numFmt numFmtId="180" formatCode="#,##0.00_ ;[Red]\-#,##0.00\ "/>
    <numFmt numFmtId="181" formatCode="#,##0.0_ ;[Red]\-#,##0.0\ "/>
    <numFmt numFmtId="182" formatCode="yyyy/mm/dd"/>
    <numFmt numFmtId="183" formatCode="0.0_);[Red]\(0.0\)"/>
    <numFmt numFmtId="184" formatCode="0.0_ "/>
    <numFmt numFmtId="185" formatCode="0.00_);[Red]\(0.00\)"/>
  </numFmts>
  <fonts count="17">
    <font>
      <sz val="11"/>
      <color rgb="FF000000"/>
      <name val="Calibri"/>
      <scheme val="minor"/>
    </font>
    <font>
      <b/>
      <sz val="18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color rgb="FFFF0000"/>
      <name val="ＭＳ ゴシック"/>
      <family val="2"/>
      <charset val="128"/>
    </font>
    <font>
      <b/>
      <sz val="22"/>
      <color theme="1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1"/>
      <name val="MS PGothic"/>
      <family val="2"/>
      <charset val="128"/>
    </font>
    <font>
      <sz val="11"/>
      <color rgb="FFFF0000"/>
      <name val="ＭＳ ゴシック"/>
      <family val="2"/>
      <charset val="128"/>
    </font>
    <font>
      <sz val="11"/>
      <name val="Calibri"/>
      <family val="2"/>
    </font>
    <font>
      <sz val="12"/>
      <color theme="1"/>
      <name val="ＭＳ ゴシック"/>
      <family val="2"/>
      <charset val="128"/>
    </font>
    <font>
      <sz val="11"/>
      <color rgb="FF000000"/>
      <name val="ＭＳ ゴシック"/>
      <family val="2"/>
      <charset val="128"/>
    </font>
    <font>
      <sz val="7"/>
      <color theme="1"/>
      <name val="ＭＳ ゴシック"/>
      <family val="2"/>
      <charset val="128"/>
    </font>
    <font>
      <b/>
      <sz val="12"/>
      <color theme="1"/>
      <name val="ＭＳ ゴシック"/>
      <family val="2"/>
      <charset val="128"/>
    </font>
    <font>
      <sz val="16"/>
      <color theme="1"/>
      <name val="ＭＳ ゴシック"/>
      <family val="2"/>
      <charset val="128"/>
    </font>
    <font>
      <sz val="16"/>
      <color rgb="FFFF0000"/>
      <name val="ＭＳ ゴシック"/>
      <family val="2"/>
      <charset val="128"/>
    </font>
    <font>
      <sz val="11"/>
      <color theme="1"/>
      <name val="MS Gothic"/>
      <family val="2"/>
      <charset val="128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96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7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6" xfId="0" applyFont="1" applyBorder="1" applyAlignment="1">
      <alignment vertical="center" shrinkToFit="1"/>
    </xf>
    <xf numFmtId="0" fontId="7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7" fontId="2" fillId="0" borderId="9" xfId="0" applyNumberFormat="1" applyFont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/>
    </xf>
    <xf numFmtId="179" fontId="2" fillId="0" borderId="9" xfId="0" applyNumberFormat="1" applyFont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82" fontId="2" fillId="0" borderId="4" xfId="0" applyNumberFormat="1" applyFont="1" applyBorder="1" applyAlignment="1">
      <alignment horizontal="center" vertical="center" shrinkToFit="1"/>
    </xf>
    <xf numFmtId="178" fontId="10" fillId="0" borderId="20" xfId="0" applyNumberFormat="1" applyFont="1" applyBorder="1" applyAlignment="1">
      <alignment horizontal="center"/>
    </xf>
    <xf numFmtId="179" fontId="2" fillId="0" borderId="18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83" fontId="2" fillId="0" borderId="21" xfId="0" applyNumberFormat="1" applyFont="1" applyBorder="1" applyAlignment="1">
      <alignment horizontal="center" vertical="center"/>
    </xf>
    <xf numFmtId="179" fontId="5" fillId="0" borderId="8" xfId="0" applyNumberFormat="1" applyFont="1" applyBorder="1" applyAlignment="1">
      <alignment horizontal="center" vertical="center"/>
    </xf>
    <xf numFmtId="184" fontId="5" fillId="0" borderId="9" xfId="0" applyNumberFormat="1" applyFont="1" applyBorder="1" applyAlignment="1">
      <alignment horizontal="center" vertical="center"/>
    </xf>
    <xf numFmtId="185" fontId="5" fillId="0" borderId="5" xfId="0" applyNumberFormat="1" applyFont="1" applyBorder="1" applyAlignment="1">
      <alignment horizontal="center" vertical="center"/>
    </xf>
    <xf numFmtId="183" fontId="2" fillId="0" borderId="20" xfId="0" applyNumberFormat="1" applyFont="1" applyBorder="1" applyAlignment="1">
      <alignment horizontal="center" vertical="center"/>
    </xf>
    <xf numFmtId="20" fontId="5" fillId="0" borderId="18" xfId="0" applyNumberFormat="1" applyFont="1" applyBorder="1" applyAlignment="1">
      <alignment horizontal="center" vertical="center"/>
    </xf>
    <xf numFmtId="184" fontId="5" fillId="0" borderId="8" xfId="0" applyNumberFormat="1" applyFont="1" applyBorder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182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vertical="center"/>
    </xf>
    <xf numFmtId="182" fontId="2" fillId="0" borderId="22" xfId="0" applyNumberFormat="1" applyFont="1" applyBorder="1" applyAlignment="1">
      <alignment horizontal="center" vertical="center" shrinkToFit="1"/>
    </xf>
    <xf numFmtId="182" fontId="2" fillId="0" borderId="9" xfId="0" applyNumberFormat="1" applyFont="1" applyBorder="1" applyAlignment="1">
      <alignment horizontal="center" vertical="center" shrinkToFit="1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 shrinkToFit="1"/>
    </xf>
    <xf numFmtId="185" fontId="5" fillId="0" borderId="9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85" fontId="12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13" fillId="0" borderId="9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185" fontId="12" fillId="0" borderId="0" xfId="0" applyNumberFormat="1" applyFont="1" applyAlignment="1">
      <alignment horizontal="right" vertical="center"/>
    </xf>
    <xf numFmtId="0" fontId="2" fillId="0" borderId="25" xfId="0" applyFont="1" applyBorder="1" applyAlignment="1">
      <alignment vertical="center" shrinkToFit="1"/>
    </xf>
    <xf numFmtId="0" fontId="6" fillId="0" borderId="25" xfId="0" applyFont="1" applyBorder="1" applyAlignment="1">
      <alignment vertical="center" shrinkToFit="1"/>
    </xf>
    <xf numFmtId="0" fontId="6" fillId="0" borderId="26" xfId="0" applyFont="1" applyBorder="1" applyAlignment="1">
      <alignment vertical="center"/>
    </xf>
    <xf numFmtId="0" fontId="2" fillId="0" borderId="3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27" xfId="0" applyFont="1" applyBorder="1" applyAlignment="1">
      <alignment vertical="center" shrinkToFit="1"/>
    </xf>
    <xf numFmtId="0" fontId="2" fillId="0" borderId="28" xfId="0" applyFont="1" applyBorder="1" applyAlignment="1">
      <alignment vertical="center" shrinkToFit="1"/>
    </xf>
    <xf numFmtId="0" fontId="2" fillId="0" borderId="27" xfId="0" applyFont="1" applyBorder="1" applyAlignment="1">
      <alignment vertical="center" shrinkToFit="1"/>
    </xf>
    <xf numFmtId="0" fontId="2" fillId="0" borderId="7" xfId="0" applyFont="1" applyBorder="1" applyAlignment="1">
      <alignment vertical="center" shrinkToFit="1"/>
    </xf>
    <xf numFmtId="0" fontId="8" fillId="0" borderId="8" xfId="0" applyFont="1" applyBorder="1" applyAlignment="1">
      <alignment vertical="center"/>
    </xf>
    <xf numFmtId="181" fontId="11" fillId="0" borderId="7" xfId="0" applyNumberFormat="1" applyFont="1" applyBorder="1" applyAlignment="1">
      <alignment vertical="center" shrinkToFit="1"/>
    </xf>
    <xf numFmtId="181" fontId="11" fillId="0" borderId="15" xfId="0" applyNumberFormat="1" applyFont="1" applyBorder="1" applyAlignment="1">
      <alignment vertical="center" shrinkToFit="1"/>
    </xf>
    <xf numFmtId="0" fontId="9" fillId="2" borderId="7" xfId="0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0" fillId="0" borderId="0" xfId="0" applyAlignment="1">
      <alignment vertical="center"/>
    </xf>
    <xf numFmtId="0" fontId="13" fillId="0" borderId="7" xfId="0" applyFont="1" applyBorder="1" applyAlignment="1">
      <alignment horizontal="center" vertical="center" shrinkToFit="1"/>
    </xf>
    <xf numFmtId="0" fontId="8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" fillId="0" borderId="29" xfId="0" applyFont="1" applyBorder="1" applyAlignment="1">
      <alignment vertical="center" shrinkToFit="1"/>
    </xf>
    <xf numFmtId="0" fontId="8" fillId="0" borderId="30" xfId="0" applyFont="1" applyBorder="1" applyAlignment="1">
      <alignment vertical="center"/>
    </xf>
    <xf numFmtId="0" fontId="14" fillId="0" borderId="7" xfId="0" applyFont="1" applyBorder="1" applyAlignment="1">
      <alignment horizontal="center" vertical="center" shrinkToFit="1"/>
    </xf>
    <xf numFmtId="176" fontId="1" fillId="0" borderId="0" xfId="0" applyNumberFormat="1" applyFont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shrinkToFit="1"/>
    </xf>
    <xf numFmtId="0" fontId="2" fillId="0" borderId="2" xfId="0" applyFont="1" applyBorder="1" applyAlignment="1">
      <alignment vertical="center" wrapText="1" shrinkToFi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</cellXfs>
  <cellStyles count="1">
    <cellStyle name="標準" xfId="0" builtinId="0"/>
  </cellStyles>
  <dxfs count="1"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zoomScale="84" zoomScaleNormal="84" workbookViewId="0">
      <pane xSplit="5" ySplit="7" topLeftCell="F23" activePane="bottomRight" state="frozen"/>
      <selection pane="topRight" activeCell="F1" sqref="F1"/>
      <selection pane="bottomLeft" activeCell="A8" sqref="A8"/>
      <selection pane="bottomRight" activeCell="F32" sqref="F32:G32"/>
    </sheetView>
  </sheetViews>
  <sheetFormatPr defaultColWidth="14.44140625" defaultRowHeight="15" customHeight="1"/>
  <cols>
    <col min="1" max="2" width="4.6640625" customWidth="1"/>
    <col min="3" max="4" width="7.33203125" customWidth="1"/>
    <col min="5" max="5" width="12.33203125" customWidth="1"/>
    <col min="6" max="7" width="11.6640625" customWidth="1"/>
    <col min="8" max="8" width="13.6640625" customWidth="1"/>
    <col min="9" max="9" width="9.21875" customWidth="1"/>
    <col min="10" max="10" width="4.6640625" customWidth="1"/>
    <col min="11" max="11" width="11.6640625" customWidth="1"/>
    <col min="12" max="12" width="4.6640625" customWidth="1"/>
    <col min="13" max="14" width="6.6640625" customWidth="1"/>
    <col min="15" max="16" width="8.33203125" customWidth="1"/>
    <col min="17" max="17" width="9.33203125" customWidth="1"/>
    <col min="18" max="18" width="10.6640625" customWidth="1"/>
    <col min="19" max="20" width="6.6640625" customWidth="1"/>
    <col min="21" max="21" width="8.21875" customWidth="1"/>
    <col min="22" max="22" width="12.21875" customWidth="1"/>
    <col min="23" max="25" width="7.6640625" customWidth="1"/>
    <col min="26" max="29" width="12.21875" customWidth="1"/>
  </cols>
  <sheetData>
    <row r="1" spans="1:29" ht="25.8">
      <c r="A1" s="84">
        <f>K8</f>
        <v>46054</v>
      </c>
      <c r="B1" s="75"/>
      <c r="C1" s="75"/>
      <c r="D1" s="75"/>
      <c r="E1" s="75"/>
      <c r="F1" s="75"/>
      <c r="G1" s="75"/>
      <c r="H1" s="75"/>
      <c r="I1" s="75"/>
      <c r="J1" s="1"/>
      <c r="K1" s="2" t="s">
        <v>0</v>
      </c>
      <c r="L1" s="1"/>
      <c r="M1" s="1"/>
      <c r="N1" s="3" t="s">
        <v>1</v>
      </c>
      <c r="O1" s="3" t="s">
        <v>2</v>
      </c>
      <c r="P1" s="3"/>
      <c r="Q1" s="3"/>
      <c r="R1" s="3"/>
      <c r="S1" s="4"/>
      <c r="T1" s="4"/>
      <c r="U1" s="4"/>
      <c r="V1" s="4"/>
      <c r="W1" s="3"/>
      <c r="X1" s="3"/>
      <c r="Y1" s="3"/>
      <c r="Z1" s="3"/>
      <c r="AA1" s="3"/>
      <c r="AB1" s="3"/>
      <c r="AC1" s="3"/>
    </row>
    <row r="2" spans="1:29" ht="13.5" customHeight="1">
      <c r="A2" s="5"/>
      <c r="B2" s="5"/>
      <c r="C2" s="5"/>
      <c r="D2" s="5"/>
      <c r="E2" s="5"/>
      <c r="F2" s="5"/>
      <c r="G2" s="5"/>
      <c r="H2" s="5"/>
      <c r="I2" s="6"/>
      <c r="J2" s="1"/>
      <c r="K2" s="7"/>
      <c r="L2" s="1"/>
      <c r="M2" s="1"/>
      <c r="N2" s="3" t="s">
        <v>3</v>
      </c>
      <c r="O2" s="3"/>
      <c r="P2" s="3"/>
      <c r="Q2" s="3"/>
      <c r="R2" s="3"/>
      <c r="S2" s="8"/>
      <c r="T2" s="8"/>
      <c r="U2" s="8"/>
      <c r="V2" s="8"/>
      <c r="W2" s="3"/>
      <c r="X2" s="3"/>
      <c r="Y2" s="3"/>
      <c r="Z2" s="3"/>
      <c r="AA2" s="3"/>
      <c r="AB2" s="3"/>
      <c r="AC2" s="3"/>
    </row>
    <row r="3" spans="1:29" ht="18.75" customHeight="1">
      <c r="A3" s="85" t="s">
        <v>4</v>
      </c>
      <c r="B3" s="86"/>
      <c r="C3" s="87" t="str">
        <f t="shared" ref="C3:C4" si="0">K3</f>
        <v>RPA・AI-OCR導入支援業務</v>
      </c>
      <c r="D3" s="86"/>
      <c r="E3" s="86"/>
      <c r="F3" s="86"/>
      <c r="G3" s="86"/>
      <c r="H3" s="3"/>
      <c r="I3" s="3"/>
      <c r="J3" s="3"/>
      <c r="K3" s="88" t="s">
        <v>62</v>
      </c>
      <c r="L3" s="79"/>
      <c r="M3" s="80"/>
      <c r="N3" s="3" t="s">
        <v>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8.75" customHeight="1">
      <c r="A4" s="85" t="s">
        <v>6</v>
      </c>
      <c r="B4" s="86"/>
      <c r="C4" s="87" t="str">
        <f t="shared" si="0"/>
        <v>SMHC株式会社</v>
      </c>
      <c r="D4" s="86"/>
      <c r="E4" s="86"/>
      <c r="F4" s="3"/>
      <c r="G4" s="3"/>
      <c r="H4" s="3"/>
      <c r="I4" s="3"/>
      <c r="J4" s="9"/>
      <c r="K4" s="78" t="s">
        <v>7</v>
      </c>
      <c r="L4" s="79"/>
      <c r="M4" s="80"/>
      <c r="N4" s="3" t="s">
        <v>8</v>
      </c>
      <c r="O4" s="3"/>
      <c r="P4" s="3"/>
      <c r="Q4" s="3"/>
      <c r="R4" s="3"/>
      <c r="S4" s="10"/>
      <c r="T4" s="11"/>
      <c r="U4" s="11"/>
      <c r="V4" s="11"/>
      <c r="W4" s="3"/>
      <c r="X4" s="3"/>
      <c r="Y4" s="3"/>
      <c r="Z4" s="3"/>
      <c r="AA4" s="3"/>
      <c r="AB4" s="3"/>
      <c r="AC4" s="3"/>
    </row>
    <row r="5" spans="1:29" ht="18.75" customHeight="1">
      <c r="A5" s="89" t="s">
        <v>9</v>
      </c>
      <c r="B5" s="77"/>
      <c r="C5" s="90" t="str">
        <f>K5&amp;" "&amp;L5</f>
        <v>神田 涼平</v>
      </c>
      <c r="D5" s="77"/>
      <c r="E5" s="77"/>
      <c r="F5" s="3"/>
      <c r="G5" s="3"/>
      <c r="H5" s="3"/>
      <c r="I5" s="3"/>
      <c r="J5" s="9"/>
      <c r="K5" s="12" t="s">
        <v>59</v>
      </c>
      <c r="L5" s="91" t="s">
        <v>60</v>
      </c>
      <c r="M5" s="80"/>
      <c r="N5" s="3"/>
      <c r="O5" s="3"/>
      <c r="P5" s="3"/>
      <c r="Q5" s="3"/>
      <c r="R5" s="3"/>
      <c r="S5" s="10"/>
      <c r="T5" s="11"/>
      <c r="U5" s="11"/>
      <c r="V5" s="11"/>
      <c r="W5" s="3"/>
      <c r="X5" s="3"/>
      <c r="Y5" s="3"/>
      <c r="Z5" s="3"/>
      <c r="AA5" s="3"/>
      <c r="AB5" s="3"/>
      <c r="AC5" s="3"/>
    </row>
    <row r="6" spans="1:29" ht="13.5" customHeight="1">
      <c r="A6" s="10"/>
      <c r="B6" s="3"/>
      <c r="C6" s="3"/>
      <c r="D6" s="3"/>
      <c r="E6" s="3"/>
      <c r="F6" s="3"/>
      <c r="G6" s="3"/>
      <c r="H6" s="3"/>
      <c r="I6" s="3"/>
      <c r="J6" s="3"/>
      <c r="K6" s="7"/>
      <c r="L6" s="3"/>
      <c r="M6" s="3"/>
      <c r="N6" s="3"/>
      <c r="O6" s="3"/>
      <c r="P6" s="3"/>
      <c r="Q6" s="3"/>
      <c r="R6" s="3"/>
      <c r="S6" s="3"/>
      <c r="T6" s="13" t="s">
        <v>10</v>
      </c>
      <c r="U6" s="3"/>
      <c r="V6" s="3"/>
      <c r="W6" s="3"/>
      <c r="X6" s="3"/>
      <c r="Y6" s="3"/>
      <c r="Z6" s="3"/>
      <c r="AA6" s="3"/>
      <c r="AB6" s="3"/>
      <c r="AC6" s="3"/>
    </row>
    <row r="7" spans="1:29" ht="27" customHeight="1">
      <c r="A7" s="92" t="s">
        <v>11</v>
      </c>
      <c r="B7" s="70"/>
      <c r="C7" s="14" t="s">
        <v>12</v>
      </c>
      <c r="D7" s="14" t="s">
        <v>13</v>
      </c>
      <c r="E7" s="15" t="s">
        <v>14</v>
      </c>
      <c r="F7" s="93" t="s">
        <v>15</v>
      </c>
      <c r="G7" s="70"/>
      <c r="H7" s="93" t="s">
        <v>16</v>
      </c>
      <c r="I7" s="70"/>
      <c r="J7" s="16" t="s">
        <v>17</v>
      </c>
      <c r="K7" s="94" t="s">
        <v>11</v>
      </c>
      <c r="L7" s="95"/>
      <c r="M7" s="17" t="s">
        <v>12</v>
      </c>
      <c r="N7" s="18" t="s">
        <v>13</v>
      </c>
      <c r="O7" s="19" t="s">
        <v>18</v>
      </c>
      <c r="P7" s="20" t="s">
        <v>19</v>
      </c>
      <c r="Q7" s="21" t="s">
        <v>20</v>
      </c>
      <c r="R7" s="22" t="s">
        <v>14</v>
      </c>
      <c r="S7" s="23" t="s">
        <v>21</v>
      </c>
      <c r="T7" s="24" t="s">
        <v>22</v>
      </c>
      <c r="U7" s="25" t="s">
        <v>23</v>
      </c>
      <c r="V7" s="26"/>
      <c r="W7" s="26"/>
      <c r="X7" s="3"/>
      <c r="Y7" s="3"/>
      <c r="Z7" s="3" t="s">
        <v>24</v>
      </c>
      <c r="AA7" s="3" t="s">
        <v>25</v>
      </c>
      <c r="AB7" s="3" t="s">
        <v>26</v>
      </c>
      <c r="AC7" s="3" t="s">
        <v>27</v>
      </c>
    </row>
    <row r="8" spans="1:29" ht="15.75" customHeight="1">
      <c r="A8" s="27">
        <f t="shared" ref="A8:A38" si="1">IF(K8="","",K8)</f>
        <v>46054</v>
      </c>
      <c r="B8" s="28">
        <f t="shared" ref="B8:B38" si="2">IF(A8="","",A8)</f>
        <v>46054</v>
      </c>
      <c r="C8" s="29" t="str">
        <f t="shared" ref="C8:D8" si="3">IF(M8="","",M8)</f>
        <v/>
      </c>
      <c r="D8" s="29" t="str">
        <f t="shared" si="3"/>
        <v/>
      </c>
      <c r="E8" s="30" t="str">
        <f t="shared" ref="E8:E38" si="4">IF(R8="","",R8)</f>
        <v/>
      </c>
      <c r="F8" s="71"/>
      <c r="G8" s="72"/>
      <c r="H8" s="69" t="str">
        <f t="shared" ref="H8:H38" si="5">IF(COUNTBLANK(K8)=1,"",IF(COUNTIF($Z$8:$Z$38,K8)&gt;0,VLOOKUP($K8,$Z$8:$AA$38,2,FALSE),IF(COUNTIF($AB$8:$AB$38,K8)&gt;0,VLOOKUP($K8,$AB$8:$AC$38,2,FALSE),"")))</f>
        <v/>
      </c>
      <c r="I8" s="70"/>
      <c r="J8" s="31" t="str">
        <f t="shared" ref="J8:J38" si="6">IF(K8="","",IF(COUNTIF(Z$8:Z$31,K8)&gt;0,"*",""))</f>
        <v/>
      </c>
      <c r="K8" s="32">
        <v>46054</v>
      </c>
      <c r="L8" s="33">
        <f t="shared" ref="L8:L38" si="7">K8</f>
        <v>46054</v>
      </c>
      <c r="M8" s="34"/>
      <c r="N8" s="35"/>
      <c r="O8" s="36"/>
      <c r="P8" s="37" t="str">
        <f t="shared" ref="P8:P38" si="8">IF(M8&lt;&gt;"",IF(N8&lt;&gt;"",N8-M8,""),"")</f>
        <v/>
      </c>
      <c r="Q8" s="38" t="str">
        <f t="shared" ref="Q8:Q38" si="9">IF(P8&lt;&gt;"", ROUND((N8-M8)*24,2),"")</f>
        <v/>
      </c>
      <c r="R8" s="39" t="str">
        <f t="shared" ref="R8:R38" si="10">IF(M8&lt;&gt;"",IF(N8&lt;&gt;"",Q8-O8-S8,""),"")</f>
        <v/>
      </c>
      <c r="S8" s="40">
        <v>0</v>
      </c>
      <c r="T8" s="41" t="str">
        <f>IF(N8&gt;TIMEVALUE("18:00"),N8-"18:00","")</f>
        <v/>
      </c>
      <c r="U8" s="42" t="str">
        <f t="shared" ref="U8:U38" si="11">IF(T8&lt;&gt;"", ROUND((T8)*24,1)-S8,"")</f>
        <v/>
      </c>
      <c r="V8" s="43"/>
      <c r="W8" s="3"/>
      <c r="X8" s="3"/>
      <c r="Y8" s="3"/>
      <c r="Z8" s="44">
        <v>46023</v>
      </c>
      <c r="AA8" s="3" t="s">
        <v>28</v>
      </c>
      <c r="AB8" s="45"/>
      <c r="AC8" s="45"/>
    </row>
    <row r="9" spans="1:29" ht="16.5" customHeight="1">
      <c r="A9" s="27">
        <f t="shared" si="1"/>
        <v>46055</v>
      </c>
      <c r="B9" s="28">
        <f t="shared" si="2"/>
        <v>46055</v>
      </c>
      <c r="C9" s="29">
        <f t="shared" ref="C9:D9" si="12">IF(M9="","",M9)</f>
        <v>0.375</v>
      </c>
      <c r="D9" s="29">
        <f t="shared" si="12"/>
        <v>0.73958333333333337</v>
      </c>
      <c r="E9" s="30">
        <f t="shared" si="4"/>
        <v>7.75</v>
      </c>
      <c r="F9" s="71" t="s">
        <v>61</v>
      </c>
      <c r="G9" s="72"/>
      <c r="H9" s="69" t="str">
        <f t="shared" si="5"/>
        <v/>
      </c>
      <c r="I9" s="70"/>
      <c r="J9" s="31" t="str">
        <f t="shared" si="6"/>
        <v/>
      </c>
      <c r="K9" s="46">
        <f t="shared" ref="K9:K38" si="13">IF(K8="","",IF(K8+1&gt;EOMONTH($K$8,0),"",K8+1))</f>
        <v>46055</v>
      </c>
      <c r="L9" s="28">
        <f t="shared" si="7"/>
        <v>46055</v>
      </c>
      <c r="M9" s="34">
        <v>0.375</v>
      </c>
      <c r="N9" s="35">
        <v>0.73958333333333337</v>
      </c>
      <c r="O9" s="36">
        <v>1</v>
      </c>
      <c r="P9" s="37">
        <f t="shared" si="8"/>
        <v>0.36458333333333337</v>
      </c>
      <c r="Q9" s="38">
        <f t="shared" si="9"/>
        <v>8.75</v>
      </c>
      <c r="R9" s="39">
        <f t="shared" si="10"/>
        <v>7.75</v>
      </c>
      <c r="S9" s="40">
        <v>0</v>
      </c>
      <c r="T9" s="41" t="str">
        <f t="shared" ref="T9:T38" si="14">IF(N9&gt;TIMEVALUE("18:30"),N9-"18:30","")</f>
        <v/>
      </c>
      <c r="U9" s="42" t="str">
        <f t="shared" si="11"/>
        <v/>
      </c>
      <c r="V9" s="43"/>
      <c r="W9" s="3"/>
      <c r="X9" s="3"/>
      <c r="Y9" s="3"/>
      <c r="Z9" s="44">
        <v>46024</v>
      </c>
      <c r="AA9" s="3" t="s">
        <v>29</v>
      </c>
      <c r="AB9" s="45"/>
      <c r="AC9" s="45"/>
    </row>
    <row r="10" spans="1:29" ht="16.5" customHeight="1">
      <c r="A10" s="27">
        <f t="shared" si="1"/>
        <v>46056</v>
      </c>
      <c r="B10" s="28">
        <f t="shared" si="2"/>
        <v>46056</v>
      </c>
      <c r="C10" s="29">
        <f t="shared" ref="C10:D10" si="15">IF(M10="","",M10)</f>
        <v>0.375</v>
      </c>
      <c r="D10" s="29">
        <f t="shared" si="15"/>
        <v>0.73958333333333337</v>
      </c>
      <c r="E10" s="30">
        <f t="shared" si="4"/>
        <v>7.75</v>
      </c>
      <c r="F10" s="71" t="s">
        <v>61</v>
      </c>
      <c r="G10" s="72"/>
      <c r="H10" s="69" t="str">
        <f t="shared" si="5"/>
        <v/>
      </c>
      <c r="I10" s="70"/>
      <c r="J10" s="31" t="str">
        <f t="shared" si="6"/>
        <v/>
      </c>
      <c r="K10" s="47">
        <f t="shared" si="13"/>
        <v>46056</v>
      </c>
      <c r="L10" s="28">
        <f t="shared" si="7"/>
        <v>46056</v>
      </c>
      <c r="M10" s="34">
        <v>0.375</v>
      </c>
      <c r="N10" s="35">
        <v>0.73958333333333337</v>
      </c>
      <c r="O10" s="36">
        <v>1</v>
      </c>
      <c r="P10" s="37">
        <f t="shared" si="8"/>
        <v>0.36458333333333337</v>
      </c>
      <c r="Q10" s="38">
        <f t="shared" si="9"/>
        <v>8.75</v>
      </c>
      <c r="R10" s="39">
        <f t="shared" si="10"/>
        <v>7.75</v>
      </c>
      <c r="S10" s="40">
        <v>0</v>
      </c>
      <c r="T10" s="41" t="str">
        <f t="shared" si="14"/>
        <v/>
      </c>
      <c r="U10" s="42" t="str">
        <f t="shared" si="11"/>
        <v/>
      </c>
      <c r="V10" s="43"/>
      <c r="W10" s="3"/>
      <c r="X10" s="3"/>
      <c r="Y10" s="3"/>
      <c r="Z10" s="44">
        <v>46025</v>
      </c>
      <c r="AA10" s="3" t="s">
        <v>29</v>
      </c>
      <c r="AB10" s="45"/>
      <c r="AC10" s="45"/>
    </row>
    <row r="11" spans="1:29" ht="16.5" customHeight="1">
      <c r="A11" s="27">
        <f t="shared" si="1"/>
        <v>46057</v>
      </c>
      <c r="B11" s="28">
        <f t="shared" si="2"/>
        <v>46057</v>
      </c>
      <c r="C11" s="29">
        <f t="shared" ref="C11:D11" si="16">IF(M11="","",M11)</f>
        <v>0.375</v>
      </c>
      <c r="D11" s="29">
        <f t="shared" si="16"/>
        <v>0.75</v>
      </c>
      <c r="E11" s="30">
        <f t="shared" si="4"/>
        <v>8</v>
      </c>
      <c r="F11" s="71" t="s">
        <v>61</v>
      </c>
      <c r="G11" s="72"/>
      <c r="H11" s="69" t="str">
        <f t="shared" si="5"/>
        <v/>
      </c>
      <c r="I11" s="70"/>
      <c r="J11" s="31" t="str">
        <f t="shared" si="6"/>
        <v/>
      </c>
      <c r="K11" s="47">
        <f t="shared" si="13"/>
        <v>46057</v>
      </c>
      <c r="L11" s="28">
        <f t="shared" si="7"/>
        <v>46057</v>
      </c>
      <c r="M11" s="34">
        <v>0.375</v>
      </c>
      <c r="N11" s="35">
        <v>0.75</v>
      </c>
      <c r="O11" s="36">
        <v>1</v>
      </c>
      <c r="P11" s="37">
        <f t="shared" si="8"/>
        <v>0.375</v>
      </c>
      <c r="Q11" s="38">
        <f t="shared" si="9"/>
        <v>9</v>
      </c>
      <c r="R11" s="39">
        <f t="shared" si="10"/>
        <v>8</v>
      </c>
      <c r="S11" s="40">
        <v>0</v>
      </c>
      <c r="T11" s="41" t="str">
        <f t="shared" si="14"/>
        <v/>
      </c>
      <c r="U11" s="42" t="str">
        <f t="shared" si="11"/>
        <v/>
      </c>
      <c r="V11" s="43"/>
      <c r="W11" s="3"/>
      <c r="X11" s="3"/>
      <c r="Y11" s="3"/>
      <c r="Z11" s="44">
        <v>46034</v>
      </c>
      <c r="AA11" s="3" t="s">
        <v>30</v>
      </c>
      <c r="AB11" s="45"/>
      <c r="AC11" s="45"/>
    </row>
    <row r="12" spans="1:29" ht="16.5" customHeight="1">
      <c r="A12" s="27">
        <f t="shared" si="1"/>
        <v>46058</v>
      </c>
      <c r="B12" s="28">
        <f t="shared" si="2"/>
        <v>46058</v>
      </c>
      <c r="C12" s="29">
        <f t="shared" ref="C12:D12" si="17">IF(M12="","",M12)</f>
        <v>0.375</v>
      </c>
      <c r="D12" s="29">
        <f t="shared" si="17"/>
        <v>0.73958333333333337</v>
      </c>
      <c r="E12" s="30">
        <f t="shared" si="4"/>
        <v>7.75</v>
      </c>
      <c r="F12" s="71" t="s">
        <v>61</v>
      </c>
      <c r="G12" s="72"/>
      <c r="H12" s="69" t="str">
        <f t="shared" si="5"/>
        <v/>
      </c>
      <c r="I12" s="70"/>
      <c r="J12" s="31" t="str">
        <f t="shared" si="6"/>
        <v/>
      </c>
      <c r="K12" s="47">
        <f t="shared" si="13"/>
        <v>46058</v>
      </c>
      <c r="L12" s="28">
        <f t="shared" si="7"/>
        <v>46058</v>
      </c>
      <c r="M12" s="34">
        <v>0.375</v>
      </c>
      <c r="N12" s="35">
        <v>0.73958333333333337</v>
      </c>
      <c r="O12" s="36">
        <v>1</v>
      </c>
      <c r="P12" s="37">
        <f t="shared" si="8"/>
        <v>0.36458333333333337</v>
      </c>
      <c r="Q12" s="38">
        <f t="shared" si="9"/>
        <v>8.75</v>
      </c>
      <c r="R12" s="39">
        <f t="shared" si="10"/>
        <v>7.75</v>
      </c>
      <c r="S12" s="40">
        <v>0</v>
      </c>
      <c r="T12" s="41" t="str">
        <f t="shared" si="14"/>
        <v/>
      </c>
      <c r="U12" s="42" t="str">
        <f t="shared" si="11"/>
        <v/>
      </c>
      <c r="V12" s="43"/>
      <c r="W12" s="3"/>
      <c r="X12" s="3"/>
      <c r="Y12" s="3"/>
      <c r="Z12" s="44">
        <v>46064</v>
      </c>
      <c r="AA12" s="45" t="s">
        <v>31</v>
      </c>
      <c r="AB12" s="45"/>
      <c r="AC12" s="45"/>
    </row>
    <row r="13" spans="1:29" ht="16.5" customHeight="1">
      <c r="A13" s="27">
        <f t="shared" si="1"/>
        <v>46059</v>
      </c>
      <c r="B13" s="28">
        <f t="shared" si="2"/>
        <v>46059</v>
      </c>
      <c r="C13" s="29">
        <f t="shared" ref="C13:D13" si="18">IF(M13="","",M13)</f>
        <v>0.375</v>
      </c>
      <c r="D13" s="29">
        <f t="shared" si="18"/>
        <v>0.73958333333333337</v>
      </c>
      <c r="E13" s="30">
        <f t="shared" si="4"/>
        <v>7.75</v>
      </c>
      <c r="F13" s="71" t="s">
        <v>61</v>
      </c>
      <c r="G13" s="72"/>
      <c r="H13" s="69" t="str">
        <f t="shared" si="5"/>
        <v/>
      </c>
      <c r="I13" s="70"/>
      <c r="J13" s="31" t="str">
        <f t="shared" si="6"/>
        <v/>
      </c>
      <c r="K13" s="47">
        <f t="shared" si="13"/>
        <v>46059</v>
      </c>
      <c r="L13" s="28">
        <f t="shared" si="7"/>
        <v>46059</v>
      </c>
      <c r="M13" s="34">
        <v>0.375</v>
      </c>
      <c r="N13" s="35">
        <v>0.73958333333333337</v>
      </c>
      <c r="O13" s="36">
        <v>1</v>
      </c>
      <c r="P13" s="37">
        <f t="shared" si="8"/>
        <v>0.36458333333333337</v>
      </c>
      <c r="Q13" s="38">
        <f t="shared" si="9"/>
        <v>8.75</v>
      </c>
      <c r="R13" s="39">
        <f t="shared" si="10"/>
        <v>7.75</v>
      </c>
      <c r="S13" s="40">
        <v>0</v>
      </c>
      <c r="T13" s="41" t="str">
        <f t="shared" si="14"/>
        <v/>
      </c>
      <c r="U13" s="42" t="str">
        <f t="shared" si="11"/>
        <v/>
      </c>
      <c r="V13" s="43"/>
      <c r="W13" s="3"/>
      <c r="X13" s="3"/>
      <c r="Y13" s="3"/>
      <c r="Z13" s="44">
        <v>46076</v>
      </c>
      <c r="AA13" s="45" t="s">
        <v>32</v>
      </c>
      <c r="AB13" s="45"/>
      <c r="AC13" s="45"/>
    </row>
    <row r="14" spans="1:29" ht="16.5" customHeight="1">
      <c r="A14" s="27">
        <f t="shared" si="1"/>
        <v>46060</v>
      </c>
      <c r="B14" s="28">
        <f t="shared" si="2"/>
        <v>46060</v>
      </c>
      <c r="C14" s="29" t="str">
        <f t="shared" ref="C14:D14" si="19">IF(M14="","",M14)</f>
        <v/>
      </c>
      <c r="D14" s="29" t="str">
        <f t="shared" si="19"/>
        <v/>
      </c>
      <c r="E14" s="30" t="str">
        <f t="shared" si="4"/>
        <v/>
      </c>
      <c r="F14" s="71"/>
      <c r="G14" s="72"/>
      <c r="H14" s="69" t="str">
        <f t="shared" si="5"/>
        <v/>
      </c>
      <c r="I14" s="70"/>
      <c r="J14" s="31" t="str">
        <f t="shared" si="6"/>
        <v/>
      </c>
      <c r="K14" s="47">
        <f t="shared" si="13"/>
        <v>46060</v>
      </c>
      <c r="L14" s="28">
        <f t="shared" si="7"/>
        <v>46060</v>
      </c>
      <c r="M14" s="34"/>
      <c r="N14" s="35"/>
      <c r="O14" s="36"/>
      <c r="P14" s="37" t="str">
        <f t="shared" si="8"/>
        <v/>
      </c>
      <c r="Q14" s="38" t="str">
        <f t="shared" si="9"/>
        <v/>
      </c>
      <c r="R14" s="39" t="str">
        <f t="shared" si="10"/>
        <v/>
      </c>
      <c r="S14" s="40">
        <v>0</v>
      </c>
      <c r="T14" s="41" t="str">
        <f t="shared" si="14"/>
        <v/>
      </c>
      <c r="U14" s="42" t="str">
        <f t="shared" si="11"/>
        <v/>
      </c>
      <c r="V14" s="43"/>
      <c r="W14" s="3"/>
      <c r="X14" s="3"/>
      <c r="Y14" s="3"/>
      <c r="Z14" s="44">
        <v>46101</v>
      </c>
      <c r="AA14" s="45" t="s">
        <v>33</v>
      </c>
      <c r="AB14" s="45"/>
      <c r="AC14" s="45"/>
    </row>
    <row r="15" spans="1:29" ht="16.5" customHeight="1">
      <c r="A15" s="27">
        <f t="shared" si="1"/>
        <v>46061</v>
      </c>
      <c r="B15" s="28">
        <f t="shared" si="2"/>
        <v>46061</v>
      </c>
      <c r="C15" s="29" t="str">
        <f t="shared" ref="C15:D15" si="20">IF(M15="","",M15)</f>
        <v/>
      </c>
      <c r="D15" s="29" t="str">
        <f t="shared" si="20"/>
        <v/>
      </c>
      <c r="E15" s="30" t="str">
        <f t="shared" si="4"/>
        <v/>
      </c>
      <c r="F15" s="71"/>
      <c r="G15" s="72"/>
      <c r="H15" s="69" t="str">
        <f t="shared" si="5"/>
        <v/>
      </c>
      <c r="I15" s="70"/>
      <c r="J15" s="31" t="str">
        <f t="shared" si="6"/>
        <v/>
      </c>
      <c r="K15" s="47">
        <f t="shared" si="13"/>
        <v>46061</v>
      </c>
      <c r="L15" s="28">
        <f t="shared" si="7"/>
        <v>46061</v>
      </c>
      <c r="M15" s="34"/>
      <c r="N15" s="35"/>
      <c r="O15" s="36"/>
      <c r="P15" s="37" t="str">
        <f t="shared" si="8"/>
        <v/>
      </c>
      <c r="Q15" s="38" t="str">
        <f t="shared" si="9"/>
        <v/>
      </c>
      <c r="R15" s="39" t="str">
        <f t="shared" si="10"/>
        <v/>
      </c>
      <c r="S15" s="40">
        <v>0</v>
      </c>
      <c r="T15" s="41" t="str">
        <f t="shared" si="14"/>
        <v/>
      </c>
      <c r="U15" s="42" t="str">
        <f t="shared" si="11"/>
        <v/>
      </c>
      <c r="V15" s="43"/>
      <c r="W15" s="3"/>
      <c r="X15" s="3"/>
      <c r="Y15" s="3"/>
      <c r="Z15" s="44">
        <v>46141</v>
      </c>
      <c r="AA15" s="45" t="s">
        <v>34</v>
      </c>
      <c r="AB15" s="45"/>
      <c r="AC15" s="45"/>
    </row>
    <row r="16" spans="1:29" ht="16.5" customHeight="1">
      <c r="A16" s="27">
        <f t="shared" si="1"/>
        <v>46062</v>
      </c>
      <c r="B16" s="28">
        <f t="shared" si="2"/>
        <v>46062</v>
      </c>
      <c r="C16" s="29">
        <f t="shared" ref="C16:D16" si="21">IF(M16="","",M16)</f>
        <v>0.375</v>
      </c>
      <c r="D16" s="29">
        <f t="shared" si="21"/>
        <v>0.75</v>
      </c>
      <c r="E16" s="30">
        <f t="shared" si="4"/>
        <v>8</v>
      </c>
      <c r="F16" s="71" t="s">
        <v>61</v>
      </c>
      <c r="G16" s="72"/>
      <c r="H16" s="69" t="str">
        <f>IF(COUNTBLANK(K16)=1,"",IF(COUNTIF($Z$8:$Z$38,K16)&gt;0,VLOOKUP($K16,$Z$8:$AA$38,2,FALSE),IF(COUNTIF($AB$8:$AB$38,K16)&gt;0,VLOOKUP($K16,$AB$8:$AC$38,2,FALSE),"")))</f>
        <v/>
      </c>
      <c r="I16" s="70"/>
      <c r="J16" s="31" t="str">
        <f t="shared" si="6"/>
        <v/>
      </c>
      <c r="K16" s="47">
        <f t="shared" si="13"/>
        <v>46062</v>
      </c>
      <c r="L16" s="28">
        <f t="shared" si="7"/>
        <v>46062</v>
      </c>
      <c r="M16" s="34">
        <v>0.375</v>
      </c>
      <c r="N16" s="35">
        <v>0.75</v>
      </c>
      <c r="O16" s="36">
        <v>1</v>
      </c>
      <c r="P16" s="37">
        <f t="shared" si="8"/>
        <v>0.375</v>
      </c>
      <c r="Q16" s="38">
        <f t="shared" si="9"/>
        <v>9</v>
      </c>
      <c r="R16" s="39">
        <f t="shared" si="10"/>
        <v>8</v>
      </c>
      <c r="S16" s="40">
        <v>0</v>
      </c>
      <c r="T16" s="41" t="str">
        <f t="shared" si="14"/>
        <v/>
      </c>
      <c r="U16" s="42" t="str">
        <f t="shared" si="11"/>
        <v/>
      </c>
      <c r="V16" s="43"/>
      <c r="W16" s="3"/>
      <c r="X16" s="3"/>
      <c r="Y16" s="3"/>
      <c r="Z16" s="44">
        <v>45779</v>
      </c>
      <c r="AA16" s="45" t="s">
        <v>35</v>
      </c>
      <c r="AB16" s="45"/>
      <c r="AC16" s="45"/>
    </row>
    <row r="17" spans="1:29" ht="16.5" customHeight="1">
      <c r="A17" s="27">
        <f t="shared" si="1"/>
        <v>46063</v>
      </c>
      <c r="B17" s="28">
        <f t="shared" si="2"/>
        <v>46063</v>
      </c>
      <c r="C17" s="29">
        <f t="shared" ref="C17:D17" si="22">IF(M17="","",M17)</f>
        <v>0.375</v>
      </c>
      <c r="D17" s="29">
        <f t="shared" si="22"/>
        <v>0.75</v>
      </c>
      <c r="E17" s="30">
        <f t="shared" si="4"/>
        <v>8</v>
      </c>
      <c r="F17" s="71" t="s">
        <v>63</v>
      </c>
      <c r="G17" s="72"/>
      <c r="H17" s="69" t="str">
        <f t="shared" si="5"/>
        <v/>
      </c>
      <c r="I17" s="70"/>
      <c r="J17" s="31" t="str">
        <f t="shared" si="6"/>
        <v/>
      </c>
      <c r="K17" s="47">
        <f t="shared" si="13"/>
        <v>46063</v>
      </c>
      <c r="L17" s="28">
        <f t="shared" si="7"/>
        <v>46063</v>
      </c>
      <c r="M17" s="34">
        <v>0.375</v>
      </c>
      <c r="N17" s="35">
        <v>0.75</v>
      </c>
      <c r="O17" s="36">
        <v>1</v>
      </c>
      <c r="P17" s="37">
        <f t="shared" si="8"/>
        <v>0.375</v>
      </c>
      <c r="Q17" s="38">
        <f t="shared" si="9"/>
        <v>9</v>
      </c>
      <c r="R17" s="39">
        <f t="shared" si="10"/>
        <v>8</v>
      </c>
      <c r="S17" s="40">
        <v>0</v>
      </c>
      <c r="T17" s="41" t="str">
        <f t="shared" si="14"/>
        <v/>
      </c>
      <c r="U17" s="42" t="str">
        <f t="shared" si="11"/>
        <v/>
      </c>
      <c r="V17" s="43"/>
      <c r="W17" s="3"/>
      <c r="X17" s="3"/>
      <c r="Y17" s="3"/>
      <c r="Z17" s="44">
        <v>46145</v>
      </c>
      <c r="AA17" s="45" t="s">
        <v>36</v>
      </c>
      <c r="AB17" s="45"/>
      <c r="AC17" s="45"/>
    </row>
    <row r="18" spans="1:29" ht="16.5" customHeight="1">
      <c r="A18" s="27">
        <f t="shared" si="1"/>
        <v>46064</v>
      </c>
      <c r="B18" s="28">
        <f t="shared" si="2"/>
        <v>46064</v>
      </c>
      <c r="C18" s="29" t="str">
        <f t="shared" ref="C18:D18" si="23">IF(M18="","",M18)</f>
        <v/>
      </c>
      <c r="D18" s="29" t="str">
        <f t="shared" si="23"/>
        <v/>
      </c>
      <c r="E18" s="30" t="str">
        <f t="shared" si="4"/>
        <v/>
      </c>
      <c r="F18" s="71"/>
      <c r="G18" s="72"/>
      <c r="H18" s="69" t="str">
        <f t="shared" si="5"/>
        <v>建国記念の日</v>
      </c>
      <c r="I18" s="70"/>
      <c r="J18" s="31" t="str">
        <f t="shared" si="6"/>
        <v>*</v>
      </c>
      <c r="K18" s="47">
        <f t="shared" si="13"/>
        <v>46064</v>
      </c>
      <c r="L18" s="28">
        <f t="shared" si="7"/>
        <v>46064</v>
      </c>
      <c r="M18" s="34"/>
      <c r="N18" s="35"/>
      <c r="O18" s="36"/>
      <c r="P18" s="37" t="str">
        <f t="shared" si="8"/>
        <v/>
      </c>
      <c r="Q18" s="38" t="str">
        <f t="shared" si="9"/>
        <v/>
      </c>
      <c r="R18" s="39" t="str">
        <f t="shared" si="10"/>
        <v/>
      </c>
      <c r="S18" s="40">
        <v>0</v>
      </c>
      <c r="T18" s="41" t="str">
        <f t="shared" si="14"/>
        <v/>
      </c>
      <c r="U18" s="42" t="str">
        <f t="shared" si="11"/>
        <v/>
      </c>
      <c r="V18" s="43"/>
      <c r="W18" s="3"/>
      <c r="X18" s="3"/>
      <c r="Y18" s="3"/>
      <c r="Z18" s="44">
        <v>46146</v>
      </c>
      <c r="AA18" s="45" t="s">
        <v>37</v>
      </c>
      <c r="AB18" s="45"/>
      <c r="AC18" s="45"/>
    </row>
    <row r="19" spans="1:29" ht="16.5" customHeight="1">
      <c r="A19" s="27">
        <f t="shared" si="1"/>
        <v>46065</v>
      </c>
      <c r="B19" s="28">
        <f t="shared" si="2"/>
        <v>46065</v>
      </c>
      <c r="C19" s="29">
        <f t="shared" ref="C19:D19" si="24">IF(M19="","",M19)</f>
        <v>0.375</v>
      </c>
      <c r="D19" s="29">
        <f t="shared" si="24"/>
        <v>0.72916666666666663</v>
      </c>
      <c r="E19" s="30">
        <f t="shared" si="4"/>
        <v>7.5</v>
      </c>
      <c r="F19" s="71" t="s">
        <v>63</v>
      </c>
      <c r="G19" s="72"/>
      <c r="H19" s="69" t="str">
        <f>IF(COUNTBLANK(K19)=1,"",IF(COUNTIF($Z$8:$Z$38,K19)&gt;0,VLOOKUP($K19,$Z$8:$AA$38,2,FALSE),IF(COUNTIF($AB$8:$AB$38,K19)&gt;0,VLOOKUP($K19,$AB$8:$AC$38,2,FALSE),"")))</f>
        <v/>
      </c>
      <c r="I19" s="70"/>
      <c r="J19" s="31" t="str">
        <f t="shared" si="6"/>
        <v/>
      </c>
      <c r="K19" s="47">
        <f t="shared" si="13"/>
        <v>46065</v>
      </c>
      <c r="L19" s="28">
        <f t="shared" si="7"/>
        <v>46065</v>
      </c>
      <c r="M19" s="34">
        <v>0.375</v>
      </c>
      <c r="N19" s="35">
        <v>0.72916666666666663</v>
      </c>
      <c r="O19" s="36">
        <v>1</v>
      </c>
      <c r="P19" s="37">
        <f t="shared" si="8"/>
        <v>0.35416666666666663</v>
      </c>
      <c r="Q19" s="38">
        <f t="shared" si="9"/>
        <v>8.5</v>
      </c>
      <c r="R19" s="39">
        <f t="shared" si="10"/>
        <v>7.5</v>
      </c>
      <c r="S19" s="40">
        <v>0</v>
      </c>
      <c r="T19" s="41" t="str">
        <f t="shared" si="14"/>
        <v/>
      </c>
      <c r="U19" s="42" t="str">
        <f t="shared" si="11"/>
        <v/>
      </c>
      <c r="V19" s="43"/>
      <c r="W19" s="3"/>
      <c r="X19" s="3"/>
      <c r="Y19" s="3"/>
      <c r="Z19" s="44">
        <v>46147</v>
      </c>
      <c r="AA19" s="45" t="s">
        <v>38</v>
      </c>
      <c r="AB19" s="45"/>
      <c r="AC19" s="45"/>
    </row>
    <row r="20" spans="1:29" ht="16.5" customHeight="1">
      <c r="A20" s="27">
        <f t="shared" si="1"/>
        <v>46066</v>
      </c>
      <c r="B20" s="28">
        <f t="shared" si="2"/>
        <v>46066</v>
      </c>
      <c r="C20" s="29">
        <f t="shared" ref="C20:D20" si="25">IF(M20="","",M20)</f>
        <v>0.375</v>
      </c>
      <c r="D20" s="29">
        <f t="shared" si="25"/>
        <v>0.73958333333333337</v>
      </c>
      <c r="E20" s="30">
        <f t="shared" si="4"/>
        <v>7.75</v>
      </c>
      <c r="F20" s="71" t="s">
        <v>63</v>
      </c>
      <c r="G20" s="72"/>
      <c r="H20" s="69" t="str">
        <f t="shared" si="5"/>
        <v/>
      </c>
      <c r="I20" s="70"/>
      <c r="J20" s="31" t="str">
        <f t="shared" si="6"/>
        <v/>
      </c>
      <c r="K20" s="47">
        <f t="shared" si="13"/>
        <v>46066</v>
      </c>
      <c r="L20" s="28">
        <f t="shared" si="7"/>
        <v>46066</v>
      </c>
      <c r="M20" s="34">
        <v>0.375</v>
      </c>
      <c r="N20" s="35">
        <v>0.73958333333333337</v>
      </c>
      <c r="O20" s="36">
        <v>1</v>
      </c>
      <c r="P20" s="37">
        <f t="shared" si="8"/>
        <v>0.36458333333333337</v>
      </c>
      <c r="Q20" s="38">
        <f t="shared" si="9"/>
        <v>8.75</v>
      </c>
      <c r="R20" s="39">
        <f t="shared" si="10"/>
        <v>7.75</v>
      </c>
      <c r="S20" s="40">
        <v>0</v>
      </c>
      <c r="T20" s="41" t="str">
        <f t="shared" si="14"/>
        <v/>
      </c>
      <c r="U20" s="42" t="str">
        <f t="shared" si="11"/>
        <v/>
      </c>
      <c r="V20" s="43"/>
      <c r="W20" s="3"/>
      <c r="X20" s="3"/>
      <c r="Y20" s="3"/>
      <c r="Z20" s="44">
        <v>46148</v>
      </c>
      <c r="AA20" s="3" t="s">
        <v>39</v>
      </c>
      <c r="AB20" s="45"/>
      <c r="AC20" s="45"/>
    </row>
    <row r="21" spans="1:29" ht="16.5" customHeight="1">
      <c r="A21" s="27">
        <f t="shared" si="1"/>
        <v>46067</v>
      </c>
      <c r="B21" s="28">
        <f t="shared" si="2"/>
        <v>46067</v>
      </c>
      <c r="C21" s="29" t="str">
        <f t="shared" ref="C21:D21" si="26">IF(M21="","",M21)</f>
        <v/>
      </c>
      <c r="D21" s="29" t="str">
        <f t="shared" si="26"/>
        <v/>
      </c>
      <c r="E21" s="30" t="str">
        <f t="shared" si="4"/>
        <v/>
      </c>
      <c r="F21" s="71"/>
      <c r="G21" s="72"/>
      <c r="H21" s="69" t="str">
        <f t="shared" si="5"/>
        <v/>
      </c>
      <c r="I21" s="70"/>
      <c r="J21" s="31" t="str">
        <f t="shared" si="6"/>
        <v/>
      </c>
      <c r="K21" s="47">
        <f t="shared" si="13"/>
        <v>46067</v>
      </c>
      <c r="L21" s="28">
        <f t="shared" si="7"/>
        <v>46067</v>
      </c>
      <c r="M21" s="34"/>
      <c r="N21" s="35"/>
      <c r="O21" s="36"/>
      <c r="P21" s="37" t="str">
        <f t="shared" si="8"/>
        <v/>
      </c>
      <c r="Q21" s="38" t="str">
        <f t="shared" si="9"/>
        <v/>
      </c>
      <c r="R21" s="39" t="str">
        <f t="shared" si="10"/>
        <v/>
      </c>
      <c r="S21" s="40">
        <v>0</v>
      </c>
      <c r="T21" s="41" t="str">
        <f t="shared" si="14"/>
        <v/>
      </c>
      <c r="U21" s="42" t="str">
        <f t="shared" si="11"/>
        <v/>
      </c>
      <c r="V21" s="43"/>
      <c r="W21" s="3"/>
      <c r="X21" s="43"/>
      <c r="Y21" s="3"/>
      <c r="Z21" s="44">
        <v>46223</v>
      </c>
      <c r="AA21" s="3" t="s">
        <v>40</v>
      </c>
      <c r="AB21" s="45"/>
      <c r="AC21" s="45"/>
    </row>
    <row r="22" spans="1:29" ht="16.5" customHeight="1">
      <c r="A22" s="27">
        <f t="shared" si="1"/>
        <v>46068</v>
      </c>
      <c r="B22" s="28">
        <f t="shared" si="2"/>
        <v>46068</v>
      </c>
      <c r="C22" s="29" t="str">
        <f t="shared" ref="C22:D22" si="27">IF(M22="","",M22)</f>
        <v/>
      </c>
      <c r="D22" s="29" t="str">
        <f t="shared" si="27"/>
        <v/>
      </c>
      <c r="E22" s="30" t="str">
        <f t="shared" si="4"/>
        <v/>
      </c>
      <c r="F22" s="71"/>
      <c r="G22" s="72"/>
      <c r="H22" s="69" t="str">
        <f t="shared" si="5"/>
        <v/>
      </c>
      <c r="I22" s="70"/>
      <c r="J22" s="31" t="str">
        <f t="shared" si="6"/>
        <v/>
      </c>
      <c r="K22" s="47">
        <f t="shared" si="13"/>
        <v>46068</v>
      </c>
      <c r="L22" s="28">
        <f t="shared" si="7"/>
        <v>46068</v>
      </c>
      <c r="M22" s="34"/>
      <c r="N22" s="35"/>
      <c r="O22" s="36"/>
      <c r="P22" s="37" t="str">
        <f t="shared" si="8"/>
        <v/>
      </c>
      <c r="Q22" s="38" t="str">
        <f t="shared" si="9"/>
        <v/>
      </c>
      <c r="R22" s="39" t="str">
        <f t="shared" si="10"/>
        <v/>
      </c>
      <c r="S22" s="40">
        <v>0</v>
      </c>
      <c r="T22" s="41" t="str">
        <f t="shared" si="14"/>
        <v/>
      </c>
      <c r="U22" s="42" t="str">
        <f t="shared" si="11"/>
        <v/>
      </c>
      <c r="V22" s="43"/>
      <c r="W22" s="3"/>
      <c r="X22" s="3"/>
      <c r="Y22" s="3"/>
      <c r="Z22" s="44">
        <v>46245</v>
      </c>
      <c r="AA22" s="3" t="s">
        <v>41</v>
      </c>
      <c r="AB22" s="45"/>
      <c r="AC22" s="45"/>
    </row>
    <row r="23" spans="1:29" ht="16.5" customHeight="1">
      <c r="A23" s="27">
        <f t="shared" si="1"/>
        <v>46069</v>
      </c>
      <c r="B23" s="28">
        <f t="shared" si="2"/>
        <v>46069</v>
      </c>
      <c r="C23" s="29">
        <f t="shared" ref="C23:D23" si="28">IF(M23="","",M23)</f>
        <v>0.375</v>
      </c>
      <c r="D23" s="29">
        <f t="shared" si="28"/>
        <v>0.75</v>
      </c>
      <c r="E23" s="30">
        <f t="shared" si="4"/>
        <v>8</v>
      </c>
      <c r="F23" s="71" t="s">
        <v>61</v>
      </c>
      <c r="G23" s="72"/>
      <c r="H23" s="69" t="str">
        <f t="shared" si="5"/>
        <v/>
      </c>
      <c r="I23" s="70"/>
      <c r="J23" s="31" t="str">
        <f t="shared" si="6"/>
        <v/>
      </c>
      <c r="K23" s="47">
        <f t="shared" si="13"/>
        <v>46069</v>
      </c>
      <c r="L23" s="28">
        <f t="shared" si="7"/>
        <v>46069</v>
      </c>
      <c r="M23" s="34">
        <v>0.375</v>
      </c>
      <c r="N23" s="35">
        <v>0.75</v>
      </c>
      <c r="O23" s="36">
        <v>1</v>
      </c>
      <c r="P23" s="37">
        <f t="shared" si="8"/>
        <v>0.375</v>
      </c>
      <c r="Q23" s="38">
        <f t="shared" si="9"/>
        <v>9</v>
      </c>
      <c r="R23" s="39">
        <f t="shared" si="10"/>
        <v>8</v>
      </c>
      <c r="S23" s="40">
        <v>0</v>
      </c>
      <c r="T23" s="41" t="str">
        <f t="shared" si="14"/>
        <v/>
      </c>
      <c r="U23" s="42" t="str">
        <f t="shared" si="11"/>
        <v/>
      </c>
      <c r="V23" s="43"/>
      <c r="W23" s="3"/>
      <c r="X23" s="3"/>
      <c r="Y23" s="3"/>
      <c r="Z23" s="44">
        <v>46286</v>
      </c>
      <c r="AA23" s="3" t="s">
        <v>42</v>
      </c>
      <c r="AB23" s="45"/>
      <c r="AC23" s="45"/>
    </row>
    <row r="24" spans="1:29" ht="16.5" customHeight="1">
      <c r="A24" s="27">
        <f t="shared" si="1"/>
        <v>46070</v>
      </c>
      <c r="B24" s="28">
        <f t="shared" si="2"/>
        <v>46070</v>
      </c>
      <c r="C24" s="29">
        <f t="shared" ref="C24:D24" si="29">IF(M24="","",M24)</f>
        <v>0.375</v>
      </c>
      <c r="D24" s="29">
        <f t="shared" si="29"/>
        <v>0.72916666666666663</v>
      </c>
      <c r="E24" s="30">
        <f t="shared" si="4"/>
        <v>7.5</v>
      </c>
      <c r="F24" s="71" t="s">
        <v>63</v>
      </c>
      <c r="G24" s="72"/>
      <c r="H24" s="69" t="str">
        <f t="shared" si="5"/>
        <v/>
      </c>
      <c r="I24" s="70"/>
      <c r="J24" s="31" t="str">
        <f t="shared" si="6"/>
        <v/>
      </c>
      <c r="K24" s="47">
        <f t="shared" si="13"/>
        <v>46070</v>
      </c>
      <c r="L24" s="28">
        <f t="shared" si="7"/>
        <v>46070</v>
      </c>
      <c r="M24" s="34">
        <v>0.375</v>
      </c>
      <c r="N24" s="35">
        <v>0.72916666666666663</v>
      </c>
      <c r="O24" s="36">
        <v>1</v>
      </c>
      <c r="P24" s="37">
        <f t="shared" si="8"/>
        <v>0.35416666666666663</v>
      </c>
      <c r="Q24" s="38">
        <f t="shared" si="9"/>
        <v>8.5</v>
      </c>
      <c r="R24" s="39">
        <f t="shared" si="10"/>
        <v>7.5</v>
      </c>
      <c r="S24" s="40">
        <v>0</v>
      </c>
      <c r="T24" s="41" t="str">
        <f t="shared" si="14"/>
        <v/>
      </c>
      <c r="U24" s="42" t="str">
        <f t="shared" si="11"/>
        <v/>
      </c>
      <c r="V24" s="43"/>
      <c r="W24" s="3"/>
      <c r="X24" s="3"/>
      <c r="Y24" s="3"/>
      <c r="Z24" s="44">
        <v>45923</v>
      </c>
      <c r="AA24" s="3" t="s">
        <v>43</v>
      </c>
      <c r="AB24" s="45"/>
      <c r="AC24" s="45"/>
    </row>
    <row r="25" spans="1:29" ht="16.5" customHeight="1">
      <c r="A25" s="27">
        <f t="shared" si="1"/>
        <v>46071</v>
      </c>
      <c r="B25" s="28">
        <f t="shared" si="2"/>
        <v>46071</v>
      </c>
      <c r="C25" s="29">
        <f t="shared" ref="C25:D25" si="30">IF(M25="","",M25)</f>
        <v>0.375</v>
      </c>
      <c r="D25" s="29">
        <f t="shared" si="30"/>
        <v>0.73958333333333337</v>
      </c>
      <c r="E25" s="30">
        <f t="shared" si="4"/>
        <v>7.75</v>
      </c>
      <c r="F25" s="71" t="s">
        <v>63</v>
      </c>
      <c r="G25" s="72"/>
      <c r="H25" s="69" t="str">
        <f t="shared" si="5"/>
        <v/>
      </c>
      <c r="I25" s="70"/>
      <c r="J25" s="31" t="str">
        <f t="shared" si="6"/>
        <v/>
      </c>
      <c r="K25" s="47">
        <f t="shared" si="13"/>
        <v>46071</v>
      </c>
      <c r="L25" s="28">
        <f t="shared" si="7"/>
        <v>46071</v>
      </c>
      <c r="M25" s="34">
        <v>0.375</v>
      </c>
      <c r="N25" s="35">
        <v>0.73958333333333337</v>
      </c>
      <c r="O25" s="36">
        <v>1</v>
      </c>
      <c r="P25" s="37">
        <f t="shared" si="8"/>
        <v>0.36458333333333337</v>
      </c>
      <c r="Q25" s="38">
        <f t="shared" si="9"/>
        <v>8.75</v>
      </c>
      <c r="R25" s="39">
        <f t="shared" si="10"/>
        <v>7.75</v>
      </c>
      <c r="S25" s="40">
        <v>0</v>
      </c>
      <c r="T25" s="41" t="str">
        <f t="shared" si="14"/>
        <v/>
      </c>
      <c r="U25" s="42" t="str">
        <f t="shared" si="11"/>
        <v/>
      </c>
      <c r="V25" s="43"/>
      <c r="W25" s="3"/>
      <c r="X25" s="3"/>
      <c r="Y25" s="3"/>
      <c r="Z25" s="44">
        <v>45943</v>
      </c>
      <c r="AA25" s="3" t="s">
        <v>44</v>
      </c>
      <c r="AB25" s="45"/>
      <c r="AC25" s="45"/>
    </row>
    <row r="26" spans="1:29" ht="16.5" customHeight="1">
      <c r="A26" s="27">
        <f t="shared" si="1"/>
        <v>46072</v>
      </c>
      <c r="B26" s="28">
        <f t="shared" si="2"/>
        <v>46072</v>
      </c>
      <c r="C26" s="29">
        <f t="shared" ref="C26:D26" si="31">IF(M26="","",M26)</f>
        <v>0.375</v>
      </c>
      <c r="D26" s="29">
        <f t="shared" si="31"/>
        <v>0.73958333333333337</v>
      </c>
      <c r="E26" s="30">
        <f t="shared" si="4"/>
        <v>7.75</v>
      </c>
      <c r="F26" s="71" t="s">
        <v>63</v>
      </c>
      <c r="G26" s="72"/>
      <c r="H26" s="69" t="str">
        <f t="shared" si="5"/>
        <v/>
      </c>
      <c r="I26" s="70"/>
      <c r="J26" s="31" t="str">
        <f t="shared" si="6"/>
        <v/>
      </c>
      <c r="K26" s="47">
        <f t="shared" si="13"/>
        <v>46072</v>
      </c>
      <c r="L26" s="28">
        <f t="shared" si="7"/>
        <v>46072</v>
      </c>
      <c r="M26" s="34">
        <v>0.375</v>
      </c>
      <c r="N26" s="35">
        <v>0.73958333333333337</v>
      </c>
      <c r="O26" s="36">
        <v>1</v>
      </c>
      <c r="P26" s="37">
        <f t="shared" si="8"/>
        <v>0.36458333333333337</v>
      </c>
      <c r="Q26" s="38">
        <f t="shared" si="9"/>
        <v>8.75</v>
      </c>
      <c r="R26" s="39">
        <f t="shared" si="10"/>
        <v>7.75</v>
      </c>
      <c r="S26" s="40">
        <v>0</v>
      </c>
      <c r="T26" s="41" t="str">
        <f t="shared" si="14"/>
        <v/>
      </c>
      <c r="U26" s="42" t="str">
        <f t="shared" si="11"/>
        <v/>
      </c>
      <c r="V26" s="43"/>
      <c r="W26" s="3"/>
      <c r="X26" s="3"/>
      <c r="Y26" s="3"/>
      <c r="Z26" s="44">
        <v>45964</v>
      </c>
      <c r="AA26" s="3" t="s">
        <v>45</v>
      </c>
      <c r="AB26" s="45"/>
      <c r="AC26" s="45"/>
    </row>
    <row r="27" spans="1:29" ht="16.5" customHeight="1">
      <c r="A27" s="27">
        <f t="shared" si="1"/>
        <v>46073</v>
      </c>
      <c r="B27" s="28">
        <f t="shared" si="2"/>
        <v>46073</v>
      </c>
      <c r="C27" s="29">
        <f t="shared" ref="C27:D27" si="32">IF(M27="","",M27)</f>
        <v>0.375</v>
      </c>
      <c r="D27" s="29">
        <f t="shared" si="32"/>
        <v>0.73958333333333337</v>
      </c>
      <c r="E27" s="30">
        <f t="shared" si="4"/>
        <v>7.75</v>
      </c>
      <c r="F27" s="71" t="s">
        <v>63</v>
      </c>
      <c r="G27" s="72"/>
      <c r="H27" s="69" t="str">
        <f>IF(COUNTBLANK(K27)=1,"",IF(COUNTIF($Z$8:$Z$38,K27)&gt;0,VLOOKUP($K27,$Z$8:$AA$38,2,FALSE),IF(COUNTIF($AB$8:$AB$38,K27)&gt;0,VLOOKUP($K27,$AB$8:$AC$38,2,FALSE),"")))</f>
        <v/>
      </c>
      <c r="I27" s="70"/>
      <c r="J27" s="31" t="str">
        <f t="shared" si="6"/>
        <v/>
      </c>
      <c r="K27" s="47">
        <f t="shared" si="13"/>
        <v>46073</v>
      </c>
      <c r="L27" s="28">
        <f t="shared" si="7"/>
        <v>46073</v>
      </c>
      <c r="M27" s="34">
        <v>0.375</v>
      </c>
      <c r="N27" s="35">
        <v>0.73958333333333337</v>
      </c>
      <c r="O27" s="36">
        <v>1</v>
      </c>
      <c r="P27" s="37">
        <f t="shared" si="8"/>
        <v>0.36458333333333337</v>
      </c>
      <c r="Q27" s="38">
        <f t="shared" si="9"/>
        <v>8.75</v>
      </c>
      <c r="R27" s="39">
        <f t="shared" si="10"/>
        <v>7.75</v>
      </c>
      <c r="S27" s="40">
        <v>0</v>
      </c>
      <c r="T27" s="41" t="str">
        <f t="shared" si="14"/>
        <v/>
      </c>
      <c r="U27" s="42" t="str">
        <f t="shared" si="11"/>
        <v/>
      </c>
      <c r="V27" s="43"/>
      <c r="W27" s="3"/>
      <c r="X27" s="3"/>
      <c r="Y27" s="3"/>
      <c r="Z27" s="44">
        <v>45985</v>
      </c>
      <c r="AA27" s="3" t="s">
        <v>46</v>
      </c>
      <c r="AB27" s="45"/>
      <c r="AC27" s="45"/>
    </row>
    <row r="28" spans="1:29" ht="16.5" customHeight="1">
      <c r="A28" s="27">
        <f t="shared" si="1"/>
        <v>46074</v>
      </c>
      <c r="B28" s="28">
        <f t="shared" si="2"/>
        <v>46074</v>
      </c>
      <c r="C28" s="29" t="str">
        <f t="shared" ref="C28:D28" si="33">IF(M28="","",M28)</f>
        <v/>
      </c>
      <c r="D28" s="29" t="str">
        <f t="shared" si="33"/>
        <v/>
      </c>
      <c r="E28" s="30" t="str">
        <f t="shared" si="4"/>
        <v/>
      </c>
      <c r="F28" s="71"/>
      <c r="G28" s="72"/>
      <c r="H28" s="69" t="str">
        <f t="shared" si="5"/>
        <v/>
      </c>
      <c r="I28" s="70"/>
      <c r="J28" s="31" t="str">
        <f t="shared" si="6"/>
        <v/>
      </c>
      <c r="K28" s="47">
        <f t="shared" si="13"/>
        <v>46074</v>
      </c>
      <c r="L28" s="28">
        <f t="shared" si="7"/>
        <v>46074</v>
      </c>
      <c r="M28" s="34"/>
      <c r="N28" s="35"/>
      <c r="O28" s="36"/>
      <c r="P28" s="37" t="str">
        <f t="shared" si="8"/>
        <v/>
      </c>
      <c r="Q28" s="38" t="str">
        <f t="shared" si="9"/>
        <v/>
      </c>
      <c r="R28" s="39" t="str">
        <f t="shared" si="10"/>
        <v/>
      </c>
      <c r="S28" s="40">
        <v>0</v>
      </c>
      <c r="T28" s="41" t="str">
        <f t="shared" si="14"/>
        <v/>
      </c>
      <c r="U28" s="42" t="str">
        <f t="shared" si="11"/>
        <v/>
      </c>
      <c r="V28" s="43"/>
      <c r="W28" s="3"/>
      <c r="X28" s="3"/>
      <c r="Y28" s="3"/>
      <c r="Z28" s="44">
        <v>46021</v>
      </c>
      <c r="AA28" s="3" t="s">
        <v>29</v>
      </c>
      <c r="AB28" s="45"/>
      <c r="AC28" s="45"/>
    </row>
    <row r="29" spans="1:29" ht="16.5" customHeight="1">
      <c r="A29" s="27">
        <f t="shared" si="1"/>
        <v>46075</v>
      </c>
      <c r="B29" s="28">
        <f t="shared" si="2"/>
        <v>46075</v>
      </c>
      <c r="C29" s="29" t="str">
        <f t="shared" ref="C29:D29" si="34">IF(M29="","",M29)</f>
        <v/>
      </c>
      <c r="D29" s="29" t="str">
        <f t="shared" si="34"/>
        <v/>
      </c>
      <c r="E29" s="30" t="str">
        <f t="shared" si="4"/>
        <v/>
      </c>
      <c r="F29" s="71"/>
      <c r="G29" s="72"/>
      <c r="H29" s="69"/>
      <c r="I29" s="70"/>
      <c r="J29" s="31" t="str">
        <f t="shared" si="6"/>
        <v/>
      </c>
      <c r="K29" s="47">
        <f t="shared" si="13"/>
        <v>46075</v>
      </c>
      <c r="L29" s="28">
        <f t="shared" si="7"/>
        <v>46075</v>
      </c>
      <c r="M29" s="34"/>
      <c r="N29" s="35"/>
      <c r="O29" s="36"/>
      <c r="P29" s="37" t="str">
        <f t="shared" si="8"/>
        <v/>
      </c>
      <c r="Q29" s="38" t="str">
        <f t="shared" si="9"/>
        <v/>
      </c>
      <c r="R29" s="39" t="str">
        <f t="shared" si="10"/>
        <v/>
      </c>
      <c r="S29" s="40">
        <v>0</v>
      </c>
      <c r="T29" s="41" t="str">
        <f t="shared" si="14"/>
        <v/>
      </c>
      <c r="U29" s="42" t="str">
        <f t="shared" si="11"/>
        <v/>
      </c>
      <c r="V29" s="43"/>
      <c r="W29" s="3"/>
      <c r="X29" s="3"/>
      <c r="Y29" s="3"/>
      <c r="Z29" s="44">
        <v>46022</v>
      </c>
      <c r="AA29" s="45" t="s">
        <v>29</v>
      </c>
      <c r="AB29" s="45"/>
      <c r="AC29" s="45"/>
    </row>
    <row r="30" spans="1:29" ht="16.5" customHeight="1">
      <c r="A30" s="27">
        <f t="shared" si="1"/>
        <v>46076</v>
      </c>
      <c r="B30" s="28">
        <f t="shared" si="2"/>
        <v>46076</v>
      </c>
      <c r="C30" s="29" t="str">
        <f t="shared" ref="C30:D30" si="35">IF(M30="","",M30)</f>
        <v/>
      </c>
      <c r="D30" s="29" t="str">
        <f t="shared" si="35"/>
        <v/>
      </c>
      <c r="E30" s="30" t="str">
        <f t="shared" si="4"/>
        <v/>
      </c>
      <c r="F30" s="71"/>
      <c r="G30" s="72"/>
      <c r="H30" s="69" t="str">
        <f t="shared" si="5"/>
        <v>天皇誕生日(振替)</v>
      </c>
      <c r="I30" s="70"/>
      <c r="J30" s="31" t="str">
        <f t="shared" si="6"/>
        <v>*</v>
      </c>
      <c r="K30" s="47">
        <f t="shared" si="13"/>
        <v>46076</v>
      </c>
      <c r="L30" s="28">
        <f t="shared" si="7"/>
        <v>46076</v>
      </c>
      <c r="M30" s="34"/>
      <c r="N30" s="35"/>
      <c r="O30" s="36"/>
      <c r="P30" s="37" t="str">
        <f t="shared" si="8"/>
        <v/>
      </c>
      <c r="Q30" s="38" t="str">
        <f t="shared" si="9"/>
        <v/>
      </c>
      <c r="R30" s="39" t="str">
        <f t="shared" si="10"/>
        <v/>
      </c>
      <c r="S30" s="40">
        <v>0</v>
      </c>
      <c r="T30" s="41" t="str">
        <f t="shared" si="14"/>
        <v/>
      </c>
      <c r="U30" s="42" t="str">
        <f t="shared" si="11"/>
        <v/>
      </c>
      <c r="V30" s="43"/>
      <c r="W30" s="3"/>
      <c r="X30" s="3"/>
      <c r="Y30" s="3"/>
      <c r="Z30" s="44"/>
      <c r="AA30" s="45"/>
      <c r="AB30" s="45"/>
      <c r="AC30" s="45"/>
    </row>
    <row r="31" spans="1:29" ht="16.5" customHeight="1">
      <c r="A31" s="27">
        <f t="shared" si="1"/>
        <v>46077</v>
      </c>
      <c r="B31" s="28">
        <f t="shared" si="2"/>
        <v>46077</v>
      </c>
      <c r="C31" s="29">
        <f t="shared" ref="C31:D31" si="36">IF(M31="","",M31)</f>
        <v>0.375</v>
      </c>
      <c r="D31" s="29">
        <f t="shared" si="36"/>
        <v>0.73958333333333337</v>
      </c>
      <c r="E31" s="30">
        <f t="shared" si="4"/>
        <v>7.75</v>
      </c>
      <c r="F31" s="71" t="s">
        <v>61</v>
      </c>
      <c r="G31" s="72"/>
      <c r="H31" s="69" t="str">
        <f>IF(COUNTBLANK(K31)=1,"",IF(COUNTIF($Z$8:$Z$38,K31)&gt;0,VLOOKUP($K31,$Z$8:$AA$38,2,FALSE),IF(COUNTIF($AB$8:$AB$38,K31)&gt;0,VLOOKUP($K31,$AB$8:$AC$38,2,FALSE),"")))</f>
        <v/>
      </c>
      <c r="I31" s="70"/>
      <c r="J31" s="31" t="str">
        <f t="shared" si="6"/>
        <v/>
      </c>
      <c r="K31" s="47">
        <f t="shared" si="13"/>
        <v>46077</v>
      </c>
      <c r="L31" s="28">
        <f t="shared" si="7"/>
        <v>46077</v>
      </c>
      <c r="M31" s="34">
        <v>0.375</v>
      </c>
      <c r="N31" s="35">
        <v>0.73958333333333337</v>
      </c>
      <c r="O31" s="36">
        <v>1</v>
      </c>
      <c r="P31" s="37">
        <f t="shared" si="8"/>
        <v>0.36458333333333337</v>
      </c>
      <c r="Q31" s="38">
        <f t="shared" si="9"/>
        <v>8.75</v>
      </c>
      <c r="R31" s="39">
        <f t="shared" si="10"/>
        <v>7.75</v>
      </c>
      <c r="S31" s="40">
        <v>0</v>
      </c>
      <c r="T31" s="41" t="str">
        <f t="shared" si="14"/>
        <v/>
      </c>
      <c r="U31" s="42" t="str">
        <f t="shared" si="11"/>
        <v/>
      </c>
      <c r="V31" s="43"/>
      <c r="W31" s="3"/>
      <c r="X31" s="3"/>
      <c r="Y31" s="3"/>
      <c r="Z31" s="45"/>
      <c r="AA31" s="45"/>
      <c r="AB31" s="3"/>
      <c r="AC31" s="3"/>
    </row>
    <row r="32" spans="1:29" ht="16.5" customHeight="1">
      <c r="A32" s="27">
        <f t="shared" si="1"/>
        <v>46078</v>
      </c>
      <c r="B32" s="28">
        <f t="shared" si="2"/>
        <v>46078</v>
      </c>
      <c r="C32" s="29">
        <f t="shared" ref="C32:D32" si="37">IF(M32="","",M32)</f>
        <v>0.375</v>
      </c>
      <c r="D32" s="29">
        <f t="shared" si="37"/>
        <v>0.73958333333333337</v>
      </c>
      <c r="E32" s="30">
        <f t="shared" si="4"/>
        <v>7.75</v>
      </c>
      <c r="F32" s="71" t="s">
        <v>63</v>
      </c>
      <c r="G32" s="72"/>
      <c r="H32" s="69" t="str">
        <f>IF(COUNTBLANK(K32)=1,"",IF(COUNTIF($Z$8:$Z$38,K32)&gt;0,VLOOKUP($K32,$Z$8:$AA$38,2,FALSE),IF(COUNTIF($AB$8:$AB$38,K32)&gt;0,VLOOKUP($K32,$AB$8:$AC$38,2,FALSE),"")))</f>
        <v/>
      </c>
      <c r="I32" s="70"/>
      <c r="J32" s="31" t="str">
        <f t="shared" si="6"/>
        <v/>
      </c>
      <c r="K32" s="47">
        <f t="shared" si="13"/>
        <v>46078</v>
      </c>
      <c r="L32" s="28">
        <f t="shared" si="7"/>
        <v>46078</v>
      </c>
      <c r="M32" s="34">
        <v>0.375</v>
      </c>
      <c r="N32" s="35">
        <v>0.73958333333333337</v>
      </c>
      <c r="O32" s="36">
        <v>1</v>
      </c>
      <c r="P32" s="37">
        <f t="shared" si="8"/>
        <v>0.36458333333333337</v>
      </c>
      <c r="Q32" s="38">
        <f t="shared" si="9"/>
        <v>8.75</v>
      </c>
      <c r="R32" s="39">
        <f t="shared" si="10"/>
        <v>7.75</v>
      </c>
      <c r="S32" s="40">
        <v>0</v>
      </c>
      <c r="T32" s="41" t="str">
        <f t="shared" si="14"/>
        <v/>
      </c>
      <c r="U32" s="42" t="str">
        <f t="shared" si="11"/>
        <v/>
      </c>
      <c r="V32" s="43"/>
      <c r="W32" s="3"/>
      <c r="X32" s="3"/>
      <c r="Y32" s="3"/>
      <c r="Z32" s="45"/>
      <c r="AA32" s="45"/>
      <c r="AB32" s="3"/>
      <c r="AC32" s="3"/>
    </row>
    <row r="33" spans="1:29" ht="16.5" customHeight="1">
      <c r="A33" s="27">
        <f t="shared" si="1"/>
        <v>46079</v>
      </c>
      <c r="B33" s="28">
        <f t="shared" si="2"/>
        <v>46079</v>
      </c>
      <c r="C33" s="29">
        <f t="shared" ref="C33:D33" si="38">IF(M33="","",M33)</f>
        <v>0.375</v>
      </c>
      <c r="D33" s="29">
        <f t="shared" si="38"/>
        <v>0.73958333333333337</v>
      </c>
      <c r="E33" s="30">
        <f t="shared" si="4"/>
        <v>7.75</v>
      </c>
      <c r="F33" s="71" t="s">
        <v>61</v>
      </c>
      <c r="G33" s="72"/>
      <c r="H33" s="69" t="str">
        <f t="shared" si="5"/>
        <v/>
      </c>
      <c r="I33" s="70"/>
      <c r="J33" s="31" t="str">
        <f t="shared" si="6"/>
        <v/>
      </c>
      <c r="K33" s="47">
        <f t="shared" si="13"/>
        <v>46079</v>
      </c>
      <c r="L33" s="28">
        <f t="shared" si="7"/>
        <v>46079</v>
      </c>
      <c r="M33" s="34">
        <v>0.375</v>
      </c>
      <c r="N33" s="35">
        <v>0.73958333333333337</v>
      </c>
      <c r="O33" s="36">
        <v>1</v>
      </c>
      <c r="P33" s="37">
        <f t="shared" si="8"/>
        <v>0.36458333333333337</v>
      </c>
      <c r="Q33" s="38">
        <f t="shared" si="9"/>
        <v>8.75</v>
      </c>
      <c r="R33" s="39">
        <f t="shared" si="10"/>
        <v>7.75</v>
      </c>
      <c r="S33" s="40">
        <v>0</v>
      </c>
      <c r="T33" s="41" t="str">
        <f t="shared" si="14"/>
        <v/>
      </c>
      <c r="U33" s="42" t="str">
        <f t="shared" si="11"/>
        <v/>
      </c>
      <c r="V33" s="43"/>
      <c r="W33" s="3"/>
      <c r="X33" s="3"/>
      <c r="Y33" s="3"/>
      <c r="Z33" s="45"/>
      <c r="AA33" s="45"/>
      <c r="AB33" s="3"/>
      <c r="AC33" s="3"/>
    </row>
    <row r="34" spans="1:29" ht="16.5" customHeight="1">
      <c r="A34" s="27">
        <f t="shared" si="1"/>
        <v>46080</v>
      </c>
      <c r="B34" s="28">
        <f t="shared" si="2"/>
        <v>46080</v>
      </c>
      <c r="C34" s="29">
        <f t="shared" ref="C34:D34" si="39">IF(M34="","",M34)</f>
        <v>0.375</v>
      </c>
      <c r="D34" s="29">
        <f t="shared" si="39"/>
        <v>0.73958333333333337</v>
      </c>
      <c r="E34" s="30">
        <f t="shared" si="4"/>
        <v>7.75</v>
      </c>
      <c r="F34" s="71" t="s">
        <v>63</v>
      </c>
      <c r="G34" s="72"/>
      <c r="H34" s="69" t="str">
        <f t="shared" si="5"/>
        <v/>
      </c>
      <c r="I34" s="70"/>
      <c r="J34" s="31" t="str">
        <f t="shared" si="6"/>
        <v/>
      </c>
      <c r="K34" s="47">
        <f t="shared" si="13"/>
        <v>46080</v>
      </c>
      <c r="L34" s="28">
        <f t="shared" si="7"/>
        <v>46080</v>
      </c>
      <c r="M34" s="34">
        <v>0.375</v>
      </c>
      <c r="N34" s="35">
        <v>0.73958333333333337</v>
      </c>
      <c r="O34" s="36">
        <v>1</v>
      </c>
      <c r="P34" s="37">
        <f t="shared" si="8"/>
        <v>0.36458333333333337</v>
      </c>
      <c r="Q34" s="38">
        <f t="shared" si="9"/>
        <v>8.75</v>
      </c>
      <c r="R34" s="39">
        <f t="shared" si="10"/>
        <v>7.75</v>
      </c>
      <c r="S34" s="40">
        <v>0</v>
      </c>
      <c r="T34" s="41" t="str">
        <f t="shared" si="14"/>
        <v/>
      </c>
      <c r="U34" s="42" t="str">
        <f t="shared" si="11"/>
        <v/>
      </c>
      <c r="V34" s="43"/>
      <c r="W34" s="3"/>
      <c r="X34" s="3"/>
      <c r="Y34" s="3"/>
      <c r="Z34" s="45"/>
      <c r="AA34" s="3"/>
      <c r="AB34" s="3"/>
      <c r="AC34" s="3"/>
    </row>
    <row r="35" spans="1:29" ht="16.5" customHeight="1">
      <c r="A35" s="27">
        <f t="shared" si="1"/>
        <v>46081</v>
      </c>
      <c r="B35" s="28">
        <f t="shared" si="2"/>
        <v>46081</v>
      </c>
      <c r="C35" s="29" t="str">
        <f t="shared" ref="C35:D35" si="40">IF(M35="","",M35)</f>
        <v/>
      </c>
      <c r="D35" s="29" t="str">
        <f t="shared" si="40"/>
        <v/>
      </c>
      <c r="E35" s="30" t="str">
        <f t="shared" si="4"/>
        <v/>
      </c>
      <c r="F35" s="71"/>
      <c r="G35" s="72"/>
      <c r="H35" s="69" t="str">
        <f t="shared" si="5"/>
        <v/>
      </c>
      <c r="I35" s="70"/>
      <c r="J35" s="31" t="str">
        <f t="shared" si="6"/>
        <v/>
      </c>
      <c r="K35" s="47">
        <f t="shared" si="13"/>
        <v>46081</v>
      </c>
      <c r="L35" s="28">
        <f t="shared" si="7"/>
        <v>46081</v>
      </c>
      <c r="M35" s="34"/>
      <c r="N35" s="35"/>
      <c r="O35" s="36"/>
      <c r="P35" s="37" t="str">
        <f t="shared" si="8"/>
        <v/>
      </c>
      <c r="Q35" s="38" t="str">
        <f t="shared" si="9"/>
        <v/>
      </c>
      <c r="R35" s="39" t="str">
        <f t="shared" si="10"/>
        <v/>
      </c>
      <c r="S35" s="40">
        <v>0</v>
      </c>
      <c r="T35" s="41" t="str">
        <f t="shared" si="14"/>
        <v/>
      </c>
      <c r="U35" s="42" t="str">
        <f t="shared" si="11"/>
        <v/>
      </c>
      <c r="V35" s="43"/>
      <c r="W35" s="3"/>
      <c r="X35" s="3"/>
      <c r="Y35" s="3"/>
      <c r="Z35" s="45"/>
      <c r="AA35" s="3"/>
      <c r="AB35" s="3"/>
      <c r="AC35" s="3"/>
    </row>
    <row r="36" spans="1:29" ht="16.5" customHeight="1">
      <c r="A36" s="27" t="str">
        <f t="shared" si="1"/>
        <v/>
      </c>
      <c r="B36" s="28" t="str">
        <f t="shared" si="2"/>
        <v/>
      </c>
      <c r="C36" s="29" t="str">
        <f t="shared" ref="C36:D36" si="41">IF(M36="","",M36)</f>
        <v/>
      </c>
      <c r="D36" s="29" t="str">
        <f t="shared" si="41"/>
        <v/>
      </c>
      <c r="E36" s="30" t="str">
        <f t="shared" si="4"/>
        <v/>
      </c>
      <c r="F36" s="71"/>
      <c r="G36" s="72"/>
      <c r="H36" s="69" t="str">
        <f t="shared" si="5"/>
        <v/>
      </c>
      <c r="I36" s="70"/>
      <c r="J36" s="31" t="str">
        <f t="shared" si="6"/>
        <v/>
      </c>
      <c r="K36" s="47" t="str">
        <f t="shared" si="13"/>
        <v/>
      </c>
      <c r="L36" s="28" t="str">
        <f t="shared" si="7"/>
        <v/>
      </c>
      <c r="M36" s="34"/>
      <c r="N36" s="35"/>
      <c r="O36" s="36"/>
      <c r="P36" s="37" t="str">
        <f t="shared" si="8"/>
        <v/>
      </c>
      <c r="Q36" s="38" t="str">
        <f t="shared" si="9"/>
        <v/>
      </c>
      <c r="R36" s="39" t="str">
        <f t="shared" si="10"/>
        <v/>
      </c>
      <c r="S36" s="40">
        <v>0</v>
      </c>
      <c r="T36" s="41" t="str">
        <f t="shared" si="14"/>
        <v/>
      </c>
      <c r="U36" s="42" t="str">
        <f t="shared" si="11"/>
        <v/>
      </c>
      <c r="V36" s="43"/>
      <c r="W36" s="3"/>
      <c r="X36" s="3"/>
      <c r="Y36" s="3"/>
      <c r="Z36" s="48"/>
      <c r="AA36" s="3"/>
      <c r="AB36" s="3"/>
      <c r="AC36" s="3"/>
    </row>
    <row r="37" spans="1:29" ht="16.5" customHeight="1">
      <c r="A37" s="27" t="str">
        <f t="shared" si="1"/>
        <v/>
      </c>
      <c r="B37" s="28" t="str">
        <f t="shared" si="2"/>
        <v/>
      </c>
      <c r="C37" s="29" t="str">
        <f t="shared" ref="C37:D37" si="42">IF(M37="","",M37)</f>
        <v/>
      </c>
      <c r="D37" s="29" t="str">
        <f t="shared" si="42"/>
        <v/>
      </c>
      <c r="E37" s="30" t="str">
        <f t="shared" si="4"/>
        <v/>
      </c>
      <c r="F37" s="71"/>
      <c r="G37" s="72"/>
      <c r="H37" s="69" t="str">
        <f t="shared" si="5"/>
        <v/>
      </c>
      <c r="I37" s="70"/>
      <c r="J37" s="31" t="str">
        <f t="shared" si="6"/>
        <v/>
      </c>
      <c r="K37" s="47" t="str">
        <f t="shared" si="13"/>
        <v/>
      </c>
      <c r="L37" s="28" t="str">
        <f t="shared" si="7"/>
        <v/>
      </c>
      <c r="M37" s="34"/>
      <c r="N37" s="35"/>
      <c r="O37" s="36"/>
      <c r="P37" s="37" t="str">
        <f t="shared" si="8"/>
        <v/>
      </c>
      <c r="Q37" s="38" t="str">
        <f t="shared" si="9"/>
        <v/>
      </c>
      <c r="R37" s="39" t="str">
        <f t="shared" si="10"/>
        <v/>
      </c>
      <c r="S37" s="40">
        <v>0</v>
      </c>
      <c r="T37" s="41" t="str">
        <f t="shared" si="14"/>
        <v/>
      </c>
      <c r="U37" s="42" t="str">
        <f t="shared" si="11"/>
        <v/>
      </c>
      <c r="V37" s="43"/>
      <c r="W37" s="3"/>
      <c r="X37" s="3"/>
      <c r="Y37" s="3"/>
      <c r="Z37" s="48"/>
      <c r="AA37" s="3"/>
      <c r="AB37" s="3"/>
      <c r="AC37" s="3"/>
    </row>
    <row r="38" spans="1:29" ht="16.5" customHeight="1">
      <c r="A38" s="27" t="str">
        <f t="shared" si="1"/>
        <v/>
      </c>
      <c r="B38" s="28" t="str">
        <f t="shared" si="2"/>
        <v/>
      </c>
      <c r="C38" s="29" t="str">
        <f t="shared" ref="C38:D38" si="43">IF(M38="","",M38)</f>
        <v/>
      </c>
      <c r="D38" s="29" t="str">
        <f t="shared" si="43"/>
        <v/>
      </c>
      <c r="E38" s="30" t="str">
        <f t="shared" si="4"/>
        <v/>
      </c>
      <c r="F38" s="71"/>
      <c r="G38" s="70"/>
      <c r="H38" s="69" t="str">
        <f t="shared" si="5"/>
        <v/>
      </c>
      <c r="I38" s="70"/>
      <c r="J38" s="31" t="str">
        <f t="shared" si="6"/>
        <v/>
      </c>
      <c r="K38" s="47" t="str">
        <f t="shared" si="13"/>
        <v/>
      </c>
      <c r="L38" s="28" t="str">
        <f t="shared" si="7"/>
        <v/>
      </c>
      <c r="M38" s="34"/>
      <c r="N38" s="35"/>
      <c r="O38" s="36"/>
      <c r="P38" s="37" t="str">
        <f t="shared" si="8"/>
        <v/>
      </c>
      <c r="Q38" s="38" t="str">
        <f t="shared" si="9"/>
        <v/>
      </c>
      <c r="R38" s="39" t="str">
        <f t="shared" si="10"/>
        <v/>
      </c>
      <c r="S38" s="40">
        <v>0</v>
      </c>
      <c r="T38" s="41" t="str">
        <f t="shared" si="14"/>
        <v/>
      </c>
      <c r="U38" s="42" t="str">
        <f t="shared" si="11"/>
        <v/>
      </c>
      <c r="V38" s="43"/>
      <c r="W38" s="3"/>
      <c r="X38" s="3"/>
      <c r="Y38" s="3"/>
      <c r="Z38" s="48"/>
      <c r="AA38" s="3"/>
      <c r="AB38" s="3"/>
      <c r="AC38" s="3"/>
    </row>
    <row r="39" spans="1:29" ht="13.5" customHeight="1">
      <c r="A39" s="10"/>
      <c r="B39" s="3"/>
      <c r="C39" s="3" t="str">
        <f>IF(M39="","",M39)</f>
        <v/>
      </c>
      <c r="D39" s="3"/>
      <c r="E39" s="3"/>
      <c r="F39" s="3"/>
      <c r="G39" s="3"/>
      <c r="H39" s="3"/>
      <c r="I39" s="3"/>
      <c r="J39" s="3"/>
      <c r="K39" s="49"/>
      <c r="L39" s="3"/>
      <c r="M39" s="3"/>
      <c r="N39" s="3"/>
      <c r="O39" s="3"/>
      <c r="P39" s="37"/>
      <c r="Q39" s="38"/>
      <c r="R39" s="39">
        <f>SUM(R8:R38)</f>
        <v>140</v>
      </c>
      <c r="S39" s="3"/>
      <c r="T39" s="3"/>
      <c r="U39" s="50">
        <f>SUM(U8:U38)</f>
        <v>0</v>
      </c>
      <c r="V39" s="43"/>
      <c r="W39" s="3"/>
      <c r="X39" s="3"/>
      <c r="Y39" s="3"/>
      <c r="Z39" s="48"/>
      <c r="AA39" s="3"/>
      <c r="AB39" s="3"/>
      <c r="AC39" s="3"/>
    </row>
    <row r="40" spans="1:29" ht="19.5" customHeight="1">
      <c r="A40" s="10"/>
      <c r="B40" s="51"/>
      <c r="C40" s="73" t="s">
        <v>47</v>
      </c>
      <c r="D40" s="70"/>
      <c r="E40" s="52">
        <f>31-COUNTBLANK(M8:M38)</f>
        <v>18</v>
      </c>
      <c r="F40" s="53"/>
      <c r="G40" s="74"/>
      <c r="H40" s="75"/>
      <c r="I40" s="75"/>
      <c r="J40" s="3"/>
      <c r="K40" s="3"/>
      <c r="L40" s="54"/>
      <c r="M40" s="3"/>
      <c r="N40" s="3"/>
      <c r="O40" s="3"/>
      <c r="P40" s="54"/>
      <c r="Q40" s="54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3.5" customHeight="1">
      <c r="A41" s="3"/>
      <c r="B41" s="51"/>
      <c r="C41" s="73" t="s">
        <v>48</v>
      </c>
      <c r="D41" s="70"/>
      <c r="E41" s="55">
        <f>R39</f>
        <v>140</v>
      </c>
      <c r="F41" s="53"/>
      <c r="G41" s="9"/>
      <c r="H41" s="56"/>
      <c r="I41" s="56"/>
      <c r="J41" s="3"/>
      <c r="K41" s="9"/>
      <c r="L41" s="56"/>
      <c r="M41" s="76" t="s">
        <v>49</v>
      </c>
      <c r="N41" s="77"/>
      <c r="O41" s="70"/>
      <c r="P41" s="56"/>
      <c r="Q41" s="56"/>
      <c r="R41" s="3"/>
      <c r="S41" s="57" t="s">
        <v>49</v>
      </c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9.75" customHeight="1">
      <c r="A42" s="3"/>
      <c r="B42" s="58"/>
      <c r="C42" s="59"/>
      <c r="D42" s="9"/>
      <c r="E42" s="60"/>
      <c r="F42" s="53"/>
      <c r="G42" s="9"/>
      <c r="H42" s="56"/>
      <c r="I42" s="56"/>
      <c r="J42" s="3"/>
      <c r="K42" s="61"/>
      <c r="L42" s="62"/>
      <c r="M42" s="62"/>
      <c r="N42" s="62"/>
      <c r="O42" s="62"/>
      <c r="P42" s="56"/>
      <c r="Q42" s="56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3.5" customHeight="1">
      <c r="A43" s="3"/>
      <c r="B43" s="58"/>
      <c r="C43" s="59"/>
      <c r="D43" s="9"/>
      <c r="E43" s="60"/>
      <c r="F43" s="53" t="s">
        <v>50</v>
      </c>
      <c r="G43" s="74" t="str">
        <f>IF(K43="","",K43)</f>
        <v>株式会社ニーズウェル</v>
      </c>
      <c r="H43" s="75"/>
      <c r="I43" s="75"/>
      <c r="J43" s="3"/>
      <c r="K43" s="78" t="s">
        <v>51</v>
      </c>
      <c r="L43" s="79"/>
      <c r="M43" s="79"/>
      <c r="N43" s="79"/>
      <c r="O43" s="80"/>
      <c r="P43" s="63"/>
      <c r="Q43" s="54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9.75" customHeight="1">
      <c r="A44" s="3"/>
      <c r="B44" s="58"/>
      <c r="C44" s="59"/>
      <c r="D44" s="9"/>
      <c r="E44" s="60"/>
      <c r="F44" s="53"/>
      <c r="G44" s="9"/>
      <c r="H44" s="56"/>
      <c r="I44" s="56"/>
      <c r="J44" s="3"/>
      <c r="K44" s="64"/>
      <c r="L44" s="65"/>
      <c r="M44" s="65"/>
      <c r="N44" s="65"/>
      <c r="O44" s="65"/>
      <c r="P44" s="56"/>
      <c r="Q44" s="56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3.5" hidden="1" customHeight="1">
      <c r="A45" s="3"/>
      <c r="B45" s="58"/>
      <c r="C45" s="59"/>
      <c r="D45" s="9"/>
      <c r="E45" s="60"/>
      <c r="F45" s="53" t="s">
        <v>52</v>
      </c>
      <c r="G45" s="74" t="str">
        <f>IF(K45="","",K45)</f>
        <v/>
      </c>
      <c r="H45" s="75"/>
      <c r="I45" s="75"/>
      <c r="J45" s="3"/>
      <c r="K45" s="78"/>
      <c r="L45" s="79"/>
      <c r="M45" s="79"/>
      <c r="N45" s="79"/>
      <c r="O45" s="80"/>
      <c r="P45" s="63" t="s">
        <v>53</v>
      </c>
      <c r="Q45" s="5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9.75" customHeight="1">
      <c r="A46" s="3"/>
      <c r="B46" s="58"/>
      <c r="C46" s="59"/>
      <c r="D46" s="9"/>
      <c r="E46" s="60"/>
      <c r="F46" s="53"/>
      <c r="G46" s="9"/>
      <c r="H46" s="56"/>
      <c r="I46" s="56"/>
      <c r="J46" s="3"/>
      <c r="K46" s="64"/>
      <c r="L46" s="65"/>
      <c r="M46" s="65"/>
      <c r="N46" s="66"/>
      <c r="O46" s="66"/>
      <c r="P46" s="56"/>
      <c r="Q46" s="56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3.5" customHeight="1">
      <c r="A47" s="3"/>
      <c r="B47" s="58"/>
      <c r="C47" s="59"/>
      <c r="D47" s="9"/>
      <c r="E47" s="60"/>
      <c r="F47" s="53" t="s">
        <v>54</v>
      </c>
      <c r="G47" s="74" t="str">
        <f>K47&amp;" "&amp;L47</f>
        <v>下川 泰裕</v>
      </c>
      <c r="H47" s="75"/>
      <c r="I47" s="56" t="s">
        <v>55</v>
      </c>
      <c r="J47" s="3"/>
      <c r="K47" s="67" t="s">
        <v>57</v>
      </c>
      <c r="L47" s="81" t="s">
        <v>58</v>
      </c>
      <c r="M47" s="82"/>
      <c r="N47" s="6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9.75" customHeight="1">
      <c r="A48" s="3"/>
      <c r="B48" s="58"/>
      <c r="C48" s="59"/>
      <c r="D48" s="9"/>
      <c r="E48" s="60"/>
      <c r="F48" s="53"/>
      <c r="G48" s="9"/>
      <c r="H48" s="56"/>
      <c r="I48" s="56"/>
      <c r="J48" s="3"/>
      <c r="K48" s="68"/>
      <c r="L48" s="66"/>
      <c r="M48" s="66"/>
      <c r="N48" s="56"/>
      <c r="O48" s="56"/>
      <c r="P48" s="56"/>
      <c r="Q48" s="56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4.5" customHeight="1">
      <c r="A49" s="3"/>
      <c r="B49" s="58"/>
      <c r="C49" s="59"/>
      <c r="D49" s="9"/>
      <c r="E49" s="60"/>
      <c r="F49" s="53"/>
      <c r="G49" s="9"/>
      <c r="H49" s="56"/>
      <c r="I49" s="56"/>
      <c r="J49" s="3"/>
      <c r="K49" s="9"/>
      <c r="L49" s="56"/>
      <c r="M49" s="56"/>
      <c r="N49" s="56"/>
      <c r="O49" s="56"/>
      <c r="P49" s="56"/>
      <c r="Q49" s="5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3.5" customHeight="1">
      <c r="A50" s="83" t="s">
        <v>56</v>
      </c>
      <c r="B50" s="77"/>
      <c r="C50" s="77"/>
      <c r="D50" s="77"/>
      <c r="E50" s="70"/>
      <c r="F50" s="76" t="s">
        <v>49</v>
      </c>
      <c r="G50" s="70"/>
      <c r="H50" s="76" t="s">
        <v>49</v>
      </c>
      <c r="I50" s="7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3.5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3.5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10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3.5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10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3.5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10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3.5" customHeight="1">
      <c r="A56" s="10"/>
      <c r="B56" s="3"/>
      <c r="C56" s="3"/>
      <c r="D56" s="3"/>
      <c r="E56" s="3"/>
      <c r="F56" s="3"/>
      <c r="G56" s="3"/>
      <c r="H56" s="3"/>
      <c r="I56" s="3"/>
      <c r="J56" s="3"/>
      <c r="K56" s="10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3.5" customHeight="1">
      <c r="A57" s="10"/>
      <c r="B57" s="3"/>
      <c r="C57" s="3"/>
      <c r="D57" s="3"/>
      <c r="E57" s="3"/>
      <c r="F57" s="3"/>
      <c r="G57" s="3"/>
      <c r="H57" s="3"/>
      <c r="I57" s="3"/>
      <c r="J57" s="3"/>
      <c r="K57" s="10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3.5" customHeight="1">
      <c r="A58" s="10"/>
      <c r="B58" s="3"/>
      <c r="C58" s="3"/>
      <c r="D58" s="3"/>
      <c r="E58" s="3"/>
      <c r="F58" s="3"/>
      <c r="G58" s="3"/>
      <c r="H58" s="3"/>
      <c r="I58" s="3"/>
      <c r="J58" s="3"/>
      <c r="K58" s="10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3.5" customHeight="1">
      <c r="A59" s="10"/>
      <c r="B59" s="3"/>
      <c r="C59" s="3"/>
      <c r="D59" s="3"/>
      <c r="E59" s="3"/>
      <c r="F59" s="3"/>
      <c r="G59" s="3"/>
      <c r="H59" s="3"/>
      <c r="I59" s="3"/>
      <c r="J59" s="3"/>
      <c r="K59" s="10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3.5" customHeight="1">
      <c r="A60" s="10"/>
      <c r="B60" s="3"/>
      <c r="C60" s="3"/>
      <c r="D60" s="3"/>
      <c r="E60" s="3"/>
      <c r="F60" s="3"/>
      <c r="G60" s="3"/>
      <c r="H60" s="3"/>
      <c r="I60" s="3"/>
      <c r="J60" s="3"/>
      <c r="K60" s="10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3.5" customHeight="1">
      <c r="A61" s="10"/>
      <c r="B61" s="3"/>
      <c r="C61" s="3"/>
      <c r="D61" s="3"/>
      <c r="E61" s="3"/>
      <c r="F61" s="3"/>
      <c r="G61" s="3"/>
      <c r="H61" s="3"/>
      <c r="I61" s="3"/>
      <c r="J61" s="3"/>
      <c r="K61" s="10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3.5" customHeight="1">
      <c r="A62" s="10"/>
      <c r="B62" s="3"/>
      <c r="C62" s="3"/>
      <c r="D62" s="3"/>
      <c r="E62" s="3"/>
      <c r="F62" s="3"/>
      <c r="G62" s="3"/>
      <c r="H62" s="3"/>
      <c r="I62" s="3"/>
      <c r="J62" s="3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3.5" customHeight="1">
      <c r="A63" s="10"/>
      <c r="B63" s="3"/>
      <c r="C63" s="3"/>
      <c r="D63" s="3"/>
      <c r="E63" s="3"/>
      <c r="F63" s="3"/>
      <c r="G63" s="3"/>
      <c r="H63" s="3"/>
      <c r="I63" s="3"/>
      <c r="J63" s="3"/>
      <c r="K63" s="10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3.5" customHeight="1">
      <c r="A64" s="10"/>
      <c r="B64" s="3"/>
      <c r="C64" s="3"/>
      <c r="D64" s="3"/>
      <c r="E64" s="3"/>
      <c r="F64" s="3"/>
      <c r="G64" s="3"/>
      <c r="H64" s="3"/>
      <c r="I64" s="3"/>
      <c r="J64" s="3"/>
      <c r="K64" s="10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3.5" customHeight="1">
      <c r="A65" s="10"/>
      <c r="B65" s="3"/>
      <c r="C65" s="3"/>
      <c r="D65" s="3"/>
      <c r="E65" s="3"/>
      <c r="F65" s="3"/>
      <c r="G65" s="3"/>
      <c r="H65" s="3"/>
      <c r="I65" s="3"/>
      <c r="J65" s="3"/>
      <c r="K65" s="10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3.5" customHeight="1">
      <c r="A66" s="10"/>
      <c r="B66" s="3"/>
      <c r="C66" s="3"/>
      <c r="D66" s="3"/>
      <c r="E66" s="3"/>
      <c r="F66" s="3"/>
      <c r="G66" s="3"/>
      <c r="H66" s="3"/>
      <c r="I66" s="3"/>
      <c r="J66" s="3"/>
      <c r="K66" s="10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3.5" customHeight="1">
      <c r="A67" s="10"/>
      <c r="B67" s="3"/>
      <c r="C67" s="3"/>
      <c r="D67" s="3"/>
      <c r="E67" s="3"/>
      <c r="F67" s="3"/>
      <c r="G67" s="3"/>
      <c r="H67" s="3"/>
      <c r="I67" s="3"/>
      <c r="J67" s="3"/>
      <c r="K67" s="10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3.5" customHeight="1">
      <c r="A68" s="10"/>
      <c r="B68" s="3"/>
      <c r="C68" s="3"/>
      <c r="D68" s="3"/>
      <c r="E68" s="3"/>
      <c r="F68" s="3"/>
      <c r="G68" s="3"/>
      <c r="H68" s="3"/>
      <c r="I68" s="3"/>
      <c r="J68" s="3"/>
      <c r="K68" s="10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3.5" customHeight="1">
      <c r="A69" s="10"/>
      <c r="B69" s="3"/>
      <c r="C69" s="3"/>
      <c r="D69" s="3"/>
      <c r="E69" s="3"/>
      <c r="F69" s="3"/>
      <c r="G69" s="3"/>
      <c r="H69" s="3"/>
      <c r="I69" s="3"/>
      <c r="J69" s="3"/>
      <c r="K69" s="10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3.5" customHeight="1">
      <c r="A70" s="10"/>
      <c r="B70" s="3"/>
      <c r="C70" s="3"/>
      <c r="D70" s="3"/>
      <c r="E70" s="3"/>
      <c r="F70" s="3"/>
      <c r="G70" s="3"/>
      <c r="H70" s="3"/>
      <c r="I70" s="3"/>
      <c r="J70" s="3"/>
      <c r="K70" s="10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3.5" customHeight="1">
      <c r="A71" s="10"/>
      <c r="B71" s="3"/>
      <c r="C71" s="3"/>
      <c r="D71" s="3"/>
      <c r="E71" s="3"/>
      <c r="F71" s="3"/>
      <c r="G71" s="3"/>
      <c r="H71" s="3"/>
      <c r="I71" s="3"/>
      <c r="J71" s="3"/>
      <c r="K71" s="10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3.5" customHeight="1">
      <c r="A72" s="10"/>
      <c r="B72" s="3"/>
      <c r="C72" s="3"/>
      <c r="D72" s="3"/>
      <c r="E72" s="3"/>
      <c r="F72" s="3"/>
      <c r="G72" s="3"/>
      <c r="H72" s="3"/>
      <c r="I72" s="3"/>
      <c r="J72" s="3"/>
      <c r="K72" s="10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3.5" customHeight="1">
      <c r="A73" s="10"/>
      <c r="B73" s="3"/>
      <c r="C73" s="3"/>
      <c r="D73" s="3"/>
      <c r="E73" s="3"/>
      <c r="F73" s="3"/>
      <c r="G73" s="3"/>
      <c r="H73" s="3"/>
      <c r="I73" s="3"/>
      <c r="J73" s="3"/>
      <c r="K73" s="10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3.5" customHeight="1">
      <c r="A74" s="10"/>
      <c r="B74" s="3"/>
      <c r="C74" s="3"/>
      <c r="D74" s="3"/>
      <c r="E74" s="3"/>
      <c r="F74" s="3"/>
      <c r="G74" s="3"/>
      <c r="H74" s="3"/>
      <c r="I74" s="3"/>
      <c r="J74" s="3"/>
      <c r="K74" s="10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3.5" customHeight="1">
      <c r="A75" s="10"/>
      <c r="B75" s="3"/>
      <c r="C75" s="3"/>
      <c r="D75" s="3"/>
      <c r="E75" s="3"/>
      <c r="F75" s="3"/>
      <c r="G75" s="3"/>
      <c r="H75" s="3"/>
      <c r="I75" s="3"/>
      <c r="J75" s="3"/>
      <c r="K75" s="10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3.5" customHeight="1">
      <c r="A76" s="10"/>
      <c r="B76" s="3"/>
      <c r="C76" s="3"/>
      <c r="D76" s="3"/>
      <c r="E76" s="3"/>
      <c r="F76" s="3"/>
      <c r="G76" s="3"/>
      <c r="H76" s="3"/>
      <c r="I76" s="3"/>
      <c r="J76" s="3"/>
      <c r="K76" s="10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3.5" customHeight="1">
      <c r="A77" s="10"/>
      <c r="B77" s="3"/>
      <c r="C77" s="3"/>
      <c r="D77" s="3"/>
      <c r="E77" s="3"/>
      <c r="F77" s="3"/>
      <c r="G77" s="3"/>
      <c r="H77" s="3"/>
      <c r="I77" s="3"/>
      <c r="J77" s="3"/>
      <c r="K77" s="10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3.5" customHeight="1">
      <c r="A78" s="10"/>
      <c r="B78" s="3"/>
      <c r="C78" s="3"/>
      <c r="D78" s="3"/>
      <c r="E78" s="3"/>
      <c r="F78" s="3"/>
      <c r="G78" s="3"/>
      <c r="H78" s="3"/>
      <c r="I78" s="3"/>
      <c r="J78" s="3"/>
      <c r="K78" s="10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3.5" customHeight="1">
      <c r="A79" s="10"/>
      <c r="B79" s="3"/>
      <c r="C79" s="3"/>
      <c r="D79" s="3"/>
      <c r="E79" s="3"/>
      <c r="F79" s="3"/>
      <c r="G79" s="3"/>
      <c r="H79" s="3"/>
      <c r="I79" s="3"/>
      <c r="J79" s="3"/>
      <c r="K79" s="10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3.5" customHeight="1">
      <c r="A80" s="10"/>
      <c r="B80" s="3"/>
      <c r="C80" s="3"/>
      <c r="D80" s="3"/>
      <c r="E80" s="3"/>
      <c r="F80" s="3"/>
      <c r="G80" s="3"/>
      <c r="H80" s="3"/>
      <c r="I80" s="3"/>
      <c r="J80" s="3"/>
      <c r="K80" s="10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3.5" customHeight="1">
      <c r="A81" s="10"/>
      <c r="B81" s="3"/>
      <c r="C81" s="3"/>
      <c r="D81" s="3"/>
      <c r="E81" s="3"/>
      <c r="F81" s="3"/>
      <c r="G81" s="3"/>
      <c r="H81" s="3"/>
      <c r="I81" s="3"/>
      <c r="J81" s="3"/>
      <c r="K81" s="10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3.5" customHeight="1">
      <c r="A82" s="10"/>
      <c r="B82" s="3"/>
      <c r="C82" s="3"/>
      <c r="D82" s="3"/>
      <c r="E82" s="3"/>
      <c r="F82" s="3"/>
      <c r="G82" s="3"/>
      <c r="H82" s="3"/>
      <c r="I82" s="3"/>
      <c r="J82" s="3"/>
      <c r="K82" s="10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3.5" customHeight="1">
      <c r="A83" s="10"/>
      <c r="B83" s="3"/>
      <c r="C83" s="3"/>
      <c r="D83" s="3"/>
      <c r="E83" s="3"/>
      <c r="F83" s="3"/>
      <c r="G83" s="3"/>
      <c r="H83" s="3"/>
      <c r="I83" s="3"/>
      <c r="J83" s="3"/>
      <c r="K83" s="10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3.5" customHeight="1">
      <c r="A84" s="10"/>
      <c r="B84" s="3"/>
      <c r="C84" s="3"/>
      <c r="D84" s="3"/>
      <c r="E84" s="3"/>
      <c r="F84" s="3"/>
      <c r="G84" s="3"/>
      <c r="H84" s="3"/>
      <c r="I84" s="3"/>
      <c r="J84" s="3"/>
      <c r="K84" s="10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3.5" customHeight="1">
      <c r="A85" s="10"/>
      <c r="B85" s="3"/>
      <c r="C85" s="3"/>
      <c r="D85" s="3"/>
      <c r="E85" s="3"/>
      <c r="F85" s="3"/>
      <c r="G85" s="3"/>
      <c r="H85" s="3"/>
      <c r="I85" s="3"/>
      <c r="J85" s="3"/>
      <c r="K85" s="10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3.5" customHeight="1">
      <c r="A86" s="10"/>
      <c r="B86" s="3"/>
      <c r="C86" s="3"/>
      <c r="D86" s="3"/>
      <c r="E86" s="3"/>
      <c r="F86" s="3"/>
      <c r="G86" s="3"/>
      <c r="H86" s="3"/>
      <c r="I86" s="3"/>
      <c r="J86" s="3"/>
      <c r="K86" s="10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.5" customHeight="1">
      <c r="A87" s="10"/>
      <c r="B87" s="3"/>
      <c r="C87" s="3"/>
      <c r="D87" s="3"/>
      <c r="E87" s="3"/>
      <c r="F87" s="3"/>
      <c r="G87" s="3"/>
      <c r="H87" s="3"/>
      <c r="I87" s="3"/>
      <c r="J87" s="3"/>
      <c r="K87" s="10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.5" customHeight="1">
      <c r="A88" s="10"/>
      <c r="B88" s="3"/>
      <c r="C88" s="3"/>
      <c r="D88" s="3"/>
      <c r="E88" s="3"/>
      <c r="F88" s="3"/>
      <c r="G88" s="3"/>
      <c r="H88" s="3"/>
      <c r="I88" s="3"/>
      <c r="J88" s="3"/>
      <c r="K88" s="10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.5" customHeight="1">
      <c r="A89" s="10"/>
      <c r="B89" s="3"/>
      <c r="C89" s="3"/>
      <c r="D89" s="3"/>
      <c r="E89" s="3"/>
      <c r="F89" s="3"/>
      <c r="G89" s="3"/>
      <c r="H89" s="3"/>
      <c r="I89" s="3"/>
      <c r="J89" s="3"/>
      <c r="K89" s="10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.5" customHeight="1">
      <c r="A90" s="10"/>
      <c r="B90" s="3"/>
      <c r="C90" s="3"/>
      <c r="D90" s="3"/>
      <c r="E90" s="3"/>
      <c r="F90" s="3"/>
      <c r="G90" s="3"/>
      <c r="H90" s="3"/>
      <c r="I90" s="3"/>
      <c r="J90" s="3"/>
      <c r="K90" s="10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.5" customHeight="1">
      <c r="A91" s="10"/>
      <c r="B91" s="3"/>
      <c r="C91" s="3"/>
      <c r="D91" s="3"/>
      <c r="E91" s="3"/>
      <c r="F91" s="3"/>
      <c r="G91" s="3"/>
      <c r="H91" s="3"/>
      <c r="I91" s="3"/>
      <c r="J91" s="3"/>
      <c r="K91" s="10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.5" customHeight="1">
      <c r="A92" s="10"/>
      <c r="B92" s="3"/>
      <c r="C92" s="3"/>
      <c r="D92" s="3"/>
      <c r="E92" s="3"/>
      <c r="F92" s="3"/>
      <c r="G92" s="3"/>
      <c r="H92" s="3"/>
      <c r="I92" s="3"/>
      <c r="J92" s="3"/>
      <c r="K92" s="10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.5" customHeight="1">
      <c r="A93" s="10"/>
      <c r="B93" s="3"/>
      <c r="C93" s="3"/>
      <c r="D93" s="3"/>
      <c r="E93" s="3"/>
      <c r="F93" s="3"/>
      <c r="G93" s="3"/>
      <c r="H93" s="3"/>
      <c r="I93" s="3"/>
      <c r="J93" s="3"/>
      <c r="K93" s="10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3.5" customHeight="1">
      <c r="A94" s="10"/>
      <c r="B94" s="3"/>
      <c r="C94" s="3"/>
      <c r="D94" s="3"/>
      <c r="E94" s="3"/>
      <c r="F94" s="3"/>
      <c r="G94" s="3"/>
      <c r="H94" s="3"/>
      <c r="I94" s="3"/>
      <c r="J94" s="3"/>
      <c r="K94" s="10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3.5" customHeight="1">
      <c r="A95" s="10"/>
      <c r="B95" s="3"/>
      <c r="C95" s="3"/>
      <c r="D95" s="3"/>
      <c r="E95" s="3"/>
      <c r="F95" s="3"/>
      <c r="G95" s="3"/>
      <c r="H95" s="3"/>
      <c r="I95" s="3"/>
      <c r="J95" s="3"/>
      <c r="K95" s="10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3.5" customHeight="1">
      <c r="A96" s="10"/>
      <c r="B96" s="3"/>
      <c r="C96" s="3"/>
      <c r="D96" s="3"/>
      <c r="E96" s="3"/>
      <c r="F96" s="3"/>
      <c r="G96" s="3"/>
      <c r="H96" s="3"/>
      <c r="I96" s="3"/>
      <c r="J96" s="3"/>
      <c r="K96" s="10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3.5" customHeight="1">
      <c r="A97" s="10"/>
      <c r="B97" s="3"/>
      <c r="C97" s="3"/>
      <c r="D97" s="3"/>
      <c r="E97" s="3"/>
      <c r="F97" s="3"/>
      <c r="G97" s="3"/>
      <c r="H97" s="3"/>
      <c r="I97" s="3"/>
      <c r="J97" s="3"/>
      <c r="K97" s="1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.5" customHeight="1">
      <c r="A98" s="10"/>
      <c r="B98" s="3"/>
      <c r="C98" s="3"/>
      <c r="D98" s="3"/>
      <c r="E98" s="3"/>
      <c r="F98" s="3"/>
      <c r="G98" s="3"/>
      <c r="H98" s="3"/>
      <c r="I98" s="3"/>
      <c r="J98" s="3"/>
      <c r="K98" s="10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.5" customHeight="1">
      <c r="A99" s="10"/>
      <c r="B99" s="3"/>
      <c r="C99" s="3"/>
      <c r="D99" s="3"/>
      <c r="E99" s="3"/>
      <c r="F99" s="3"/>
      <c r="G99" s="3"/>
      <c r="H99" s="3"/>
      <c r="I99" s="3"/>
      <c r="J99" s="3"/>
      <c r="K99" s="10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3.5" customHeight="1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10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.5" customHeight="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10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.5" customHeight="1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10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.5" customHeight="1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1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3.5" customHeight="1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.5" customHeight="1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3.5" customHeight="1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1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.5" customHeight="1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.5" customHeight="1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10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.5" customHeight="1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10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.5" customHeight="1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10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.5" customHeight="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10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.5" customHeight="1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10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3.5" customHeight="1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10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.5" customHeight="1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10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.5" customHeight="1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10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.5" customHeight="1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1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.5" customHeight="1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1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.5" customHeight="1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10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.5" customHeight="1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10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.5" customHeight="1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10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.5" customHeight="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10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.5" customHeight="1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10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.5" customHeight="1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10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.5" customHeight="1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10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.5" customHeight="1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10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.5" customHeight="1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10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.5" customHeight="1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10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.5" customHeight="1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10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.5" customHeight="1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10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.5" customHeight="1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10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.5" customHeight="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10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.5" customHeight="1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10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.5" customHeight="1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10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.5" customHeight="1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10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.5" customHeight="1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10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.5" customHeight="1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10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.5" customHeight="1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10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.5" customHeight="1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10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3.5" customHeight="1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10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3.5" customHeight="1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10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3.5" customHeight="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10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3.5" customHeight="1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3.5" customHeight="1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10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3.5" customHeight="1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10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3.5" customHeight="1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10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3.5" customHeight="1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10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3.5" customHeight="1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10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3.5" customHeight="1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10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3.5" customHeight="1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10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3.5" customHeight="1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10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3.5" customHeight="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10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3.5" customHeight="1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10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3.5" customHeight="1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10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3.5" customHeight="1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10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3.5" customHeight="1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10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3.5" customHeight="1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10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3.5" customHeight="1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10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3.5" customHeight="1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10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3.5" customHeight="1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10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3.5" customHeight="1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10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3.5" customHeight="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10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3.5" customHeight="1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10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3.5" customHeight="1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10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3.5" customHeight="1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10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3.5" customHeight="1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10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3.5" customHeight="1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10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3.5" customHeight="1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10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3.5" customHeight="1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10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3.5" customHeight="1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10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3.5" customHeight="1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10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3.5" customHeight="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10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3.5" customHeight="1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10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3.5" customHeight="1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10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3.5" customHeight="1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10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3.5" customHeight="1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10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3.5" customHeight="1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10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3.5" customHeight="1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10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3.5" customHeight="1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10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3.5" customHeight="1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10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3.5" customHeight="1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10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3.5" customHeight="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10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3.5" customHeight="1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10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3.5" customHeight="1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10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3.5" customHeight="1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10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3.5" customHeight="1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10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3.5" customHeight="1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10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3.5" customHeight="1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10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3.5" customHeight="1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10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3.5" customHeight="1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10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3.5" customHeight="1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10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3.5" customHeight="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10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3.5" customHeight="1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10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3.5" customHeight="1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10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3.5" customHeight="1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10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3.5" customHeight="1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10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3.5" customHeight="1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10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3.5" customHeight="1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10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3.5" customHeight="1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10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3.5" customHeight="1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10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3.5" customHeight="1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10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3.5" customHeight="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10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3.5" customHeight="1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10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3.5" customHeight="1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10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3.5" customHeight="1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10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3.5" customHeight="1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10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3.5" customHeight="1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10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3.5" customHeight="1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10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3.5" customHeight="1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10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3.5" customHeight="1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10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3.5" customHeight="1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10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3.5" customHeight="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10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3.5" customHeight="1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10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3.5" customHeight="1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10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3.5" customHeight="1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10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3.5" customHeight="1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10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3.5" customHeight="1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10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3.5" customHeight="1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10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3.5" customHeight="1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10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3.5" customHeight="1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10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3.5" customHeight="1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10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3.5" customHeight="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10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3.5" customHeight="1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10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3.5" customHeight="1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10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3.5" customHeight="1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10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3.5" customHeight="1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10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3.5" customHeight="1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10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3.5" customHeight="1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10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3.5" customHeight="1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10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3.5" customHeight="1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10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3.5" customHeight="1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10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3.5" customHeight="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10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3.5" customHeight="1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10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3.5" customHeight="1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10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3.5" customHeight="1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10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3.5" customHeight="1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10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3.5" customHeight="1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10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3.5" customHeight="1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10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3.5" customHeight="1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10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3.5" customHeight="1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10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3.5" customHeight="1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10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3.5" customHeight="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10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3.5" customHeight="1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10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3.5" customHeight="1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10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3.5" customHeight="1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10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3.5" customHeight="1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10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3.5" customHeight="1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10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3.5" customHeight="1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10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3.5" customHeight="1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10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3.5" customHeight="1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10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3.5" customHeight="1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10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F27:G27"/>
    <mergeCell ref="F28:G28"/>
    <mergeCell ref="H28:I28"/>
    <mergeCell ref="F29:G29"/>
    <mergeCell ref="H29:I29"/>
    <mergeCell ref="F22:G22"/>
    <mergeCell ref="F23:G23"/>
    <mergeCell ref="F24:G24"/>
    <mergeCell ref="F25:G25"/>
    <mergeCell ref="F26:G26"/>
    <mergeCell ref="H18:I18"/>
    <mergeCell ref="F18:G18"/>
    <mergeCell ref="F19:G19"/>
    <mergeCell ref="F20:G20"/>
    <mergeCell ref="F21:G21"/>
    <mergeCell ref="F15:G15"/>
    <mergeCell ref="F16:G16"/>
    <mergeCell ref="F17:G17"/>
    <mergeCell ref="H12:I12"/>
    <mergeCell ref="H13:I13"/>
    <mergeCell ref="H14:I14"/>
    <mergeCell ref="H15:I15"/>
    <mergeCell ref="H16:I16"/>
    <mergeCell ref="H17:I17"/>
    <mergeCell ref="H11:I11"/>
    <mergeCell ref="F11:G11"/>
    <mergeCell ref="F12:G12"/>
    <mergeCell ref="F13:G13"/>
    <mergeCell ref="F14:G14"/>
    <mergeCell ref="H8:I8"/>
    <mergeCell ref="F9:G9"/>
    <mergeCell ref="H9:I9"/>
    <mergeCell ref="F10:G10"/>
    <mergeCell ref="H10:I10"/>
    <mergeCell ref="A50:E50"/>
    <mergeCell ref="A1:I1"/>
    <mergeCell ref="A3:B3"/>
    <mergeCell ref="C3:G3"/>
    <mergeCell ref="K3:M3"/>
    <mergeCell ref="A4:B4"/>
    <mergeCell ref="C4:E4"/>
    <mergeCell ref="K4:M4"/>
    <mergeCell ref="A5:B5"/>
    <mergeCell ref="C5:E5"/>
    <mergeCell ref="L5:M5"/>
    <mergeCell ref="A7:B7"/>
    <mergeCell ref="F7:G7"/>
    <mergeCell ref="H7:I7"/>
    <mergeCell ref="K7:L7"/>
    <mergeCell ref="F8:G8"/>
    <mergeCell ref="M41:O41"/>
    <mergeCell ref="F50:G50"/>
    <mergeCell ref="H50:I50"/>
    <mergeCell ref="G43:I43"/>
    <mergeCell ref="K43:O43"/>
    <mergeCell ref="G45:I45"/>
    <mergeCell ref="K45:O45"/>
    <mergeCell ref="G47:H47"/>
    <mergeCell ref="L47:M47"/>
    <mergeCell ref="F38:G38"/>
    <mergeCell ref="C40:D40"/>
    <mergeCell ref="C41:D41"/>
    <mergeCell ref="F30:G30"/>
    <mergeCell ref="H30:I30"/>
    <mergeCell ref="F31:G31"/>
    <mergeCell ref="H31:I31"/>
    <mergeCell ref="F32:G32"/>
    <mergeCell ref="H32:I32"/>
    <mergeCell ref="H33:I33"/>
    <mergeCell ref="H34:I34"/>
    <mergeCell ref="H35:I35"/>
    <mergeCell ref="H36:I36"/>
    <mergeCell ref="H37:I37"/>
    <mergeCell ref="H38:I38"/>
    <mergeCell ref="G40:I40"/>
    <mergeCell ref="F33:G33"/>
    <mergeCell ref="F34:G34"/>
    <mergeCell ref="F35:G35"/>
    <mergeCell ref="F36:G36"/>
    <mergeCell ref="F37:G37"/>
    <mergeCell ref="H26:I26"/>
    <mergeCell ref="H27:I27"/>
    <mergeCell ref="H19:I19"/>
    <mergeCell ref="H20:I20"/>
    <mergeCell ref="H21:I21"/>
    <mergeCell ref="H22:I22"/>
    <mergeCell ref="H23:I23"/>
    <mergeCell ref="H24:I24"/>
    <mergeCell ref="H25:I25"/>
  </mergeCells>
  <phoneticPr fontId="16"/>
  <conditionalFormatting sqref="S8:U38 P8:R39 A8:O38">
    <cfRule type="expression" dxfId="0" priority="1">
      <formula>IF(OR(WEEKDAY($K8,2)&gt;5,$J8="*"),TRUE,FALSE)=TRUE</formula>
    </cfRule>
  </conditionalFormatting>
  <pageMargins left="0.59055118110236227" right="0.9519104419838853" top="0.78740157480314965" bottom="0.39370078740157483" header="0" footer="0"/>
  <pageSetup paperSize="9" scale="46" orientation="portrait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作業実施報告書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智春 小尾</cp:lastModifiedBy>
  <dcterms:created xsi:type="dcterms:W3CDTF">2022-08-30T07:47:12Z</dcterms:created>
  <dcterms:modified xsi:type="dcterms:W3CDTF">2026-02-20T10:07:55Z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0x010100DC4AB9B4DAFACE439777A1D66AF87B3F</vt:lpwstr>
  </property>
  <property fmtid="{D5CDD505-2E9C-101B-9397-08002B2CF9AE}" pid="3" name="MediaServiceImageTags">
    <vt:lpwstr/>
  </property>
</Properties>
</file>