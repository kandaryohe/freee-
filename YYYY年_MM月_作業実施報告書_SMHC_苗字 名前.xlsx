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obi3\Downloads\"/>
    </mc:Choice>
  </mc:AlternateContent>
  <xr:revisionPtr revIDLastSave="0" documentId="13_ncr:1_{4F7942B3-3C94-4D5D-BCEE-57A0DA70AE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作業実施報告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7" i="1" l="1"/>
  <c r="G45" i="1"/>
  <c r="G43" i="1"/>
  <c r="E40" i="1"/>
  <c r="C39" i="1"/>
  <c r="T38" i="1"/>
  <c r="U38" i="1" s="1"/>
  <c r="R38" i="1"/>
  <c r="E38" i="1" s="1"/>
  <c r="P38" i="1"/>
  <c r="Q38" i="1" s="1"/>
  <c r="D38" i="1"/>
  <c r="C38" i="1"/>
  <c r="T37" i="1"/>
  <c r="U37" i="1" s="1"/>
  <c r="R37" i="1"/>
  <c r="P37" i="1"/>
  <c r="Q37" i="1" s="1"/>
  <c r="E37" i="1"/>
  <c r="D37" i="1"/>
  <c r="C37" i="1"/>
  <c r="T36" i="1"/>
  <c r="U36" i="1" s="1"/>
  <c r="R36" i="1"/>
  <c r="P36" i="1"/>
  <c r="Q36" i="1" s="1"/>
  <c r="E36" i="1"/>
  <c r="D36" i="1"/>
  <c r="C36" i="1"/>
  <c r="T35" i="1"/>
  <c r="U35" i="1" s="1"/>
  <c r="R35" i="1"/>
  <c r="P35" i="1"/>
  <c r="Q35" i="1" s="1"/>
  <c r="E35" i="1"/>
  <c r="D35" i="1"/>
  <c r="C35" i="1"/>
  <c r="T34" i="1"/>
  <c r="U34" i="1" s="1"/>
  <c r="R34" i="1"/>
  <c r="E34" i="1" s="1"/>
  <c r="Q34" i="1"/>
  <c r="P34" i="1"/>
  <c r="D34" i="1"/>
  <c r="C34" i="1"/>
  <c r="T33" i="1"/>
  <c r="U33" i="1" s="1"/>
  <c r="R33" i="1"/>
  <c r="E33" i="1" s="1"/>
  <c r="Q33" i="1"/>
  <c r="P33" i="1"/>
  <c r="D33" i="1"/>
  <c r="C33" i="1"/>
  <c r="T32" i="1"/>
  <c r="U32" i="1" s="1"/>
  <c r="R32" i="1"/>
  <c r="E32" i="1" s="1"/>
  <c r="P32" i="1"/>
  <c r="Q32" i="1" s="1"/>
  <c r="D32" i="1"/>
  <c r="C32" i="1"/>
  <c r="T31" i="1"/>
  <c r="U31" i="1" s="1"/>
  <c r="R31" i="1"/>
  <c r="E31" i="1" s="1"/>
  <c r="P31" i="1"/>
  <c r="Q31" i="1" s="1"/>
  <c r="D31" i="1"/>
  <c r="C31" i="1"/>
  <c r="T30" i="1"/>
  <c r="U30" i="1" s="1"/>
  <c r="R30" i="1"/>
  <c r="E30" i="1" s="1"/>
  <c r="P30" i="1"/>
  <c r="Q30" i="1" s="1"/>
  <c r="D30" i="1"/>
  <c r="C30" i="1"/>
  <c r="T29" i="1"/>
  <c r="U29" i="1" s="1"/>
  <c r="R29" i="1"/>
  <c r="P29" i="1"/>
  <c r="Q29" i="1" s="1"/>
  <c r="E29" i="1"/>
  <c r="D29" i="1"/>
  <c r="C29" i="1"/>
  <c r="T28" i="1"/>
  <c r="U28" i="1" s="1"/>
  <c r="R28" i="1"/>
  <c r="P28" i="1"/>
  <c r="Q28" i="1" s="1"/>
  <c r="E28" i="1"/>
  <c r="D28" i="1"/>
  <c r="C28" i="1"/>
  <c r="T27" i="1"/>
  <c r="U27" i="1" s="1"/>
  <c r="R27" i="1"/>
  <c r="P27" i="1"/>
  <c r="Q27" i="1" s="1"/>
  <c r="E27" i="1"/>
  <c r="D27" i="1"/>
  <c r="C27" i="1"/>
  <c r="T26" i="1"/>
  <c r="U26" i="1" s="1"/>
  <c r="R26" i="1"/>
  <c r="E26" i="1" s="1"/>
  <c r="P26" i="1"/>
  <c r="Q26" i="1" s="1"/>
  <c r="D26" i="1"/>
  <c r="C26" i="1"/>
  <c r="T25" i="1"/>
  <c r="U25" i="1" s="1"/>
  <c r="R25" i="1"/>
  <c r="E25" i="1" s="1"/>
  <c r="P25" i="1"/>
  <c r="Q25" i="1" s="1"/>
  <c r="D25" i="1"/>
  <c r="C25" i="1"/>
  <c r="T24" i="1"/>
  <c r="U24" i="1" s="1"/>
  <c r="R24" i="1"/>
  <c r="E24" i="1" s="1"/>
  <c r="P24" i="1"/>
  <c r="Q24" i="1" s="1"/>
  <c r="D24" i="1"/>
  <c r="C24" i="1"/>
  <c r="T23" i="1"/>
  <c r="U23" i="1" s="1"/>
  <c r="R23" i="1"/>
  <c r="P23" i="1"/>
  <c r="Q23" i="1" s="1"/>
  <c r="E23" i="1"/>
  <c r="D23" i="1"/>
  <c r="C23" i="1"/>
  <c r="T22" i="1"/>
  <c r="U22" i="1" s="1"/>
  <c r="R22" i="1"/>
  <c r="P22" i="1"/>
  <c r="Q22" i="1" s="1"/>
  <c r="E22" i="1"/>
  <c r="D22" i="1"/>
  <c r="C22" i="1"/>
  <c r="T21" i="1"/>
  <c r="U21" i="1" s="1"/>
  <c r="R21" i="1"/>
  <c r="E21" i="1" s="1"/>
  <c r="P21" i="1"/>
  <c r="Q21" i="1" s="1"/>
  <c r="D21" i="1"/>
  <c r="C21" i="1"/>
  <c r="T20" i="1"/>
  <c r="U20" i="1" s="1"/>
  <c r="P20" i="1"/>
  <c r="Q20" i="1" s="1"/>
  <c r="R20" i="1" s="1"/>
  <c r="E20" i="1" s="1"/>
  <c r="D20" i="1"/>
  <c r="C20" i="1"/>
  <c r="T19" i="1"/>
  <c r="U19" i="1" s="1"/>
  <c r="R19" i="1"/>
  <c r="P19" i="1"/>
  <c r="Q19" i="1" s="1"/>
  <c r="E19" i="1"/>
  <c r="D19" i="1"/>
  <c r="C19" i="1"/>
  <c r="T18" i="1"/>
  <c r="U18" i="1" s="1"/>
  <c r="R18" i="1"/>
  <c r="E18" i="1" s="1"/>
  <c r="Q18" i="1"/>
  <c r="P18" i="1"/>
  <c r="D18" i="1"/>
  <c r="C18" i="1"/>
  <c r="T17" i="1"/>
  <c r="U17" i="1" s="1"/>
  <c r="Q17" i="1"/>
  <c r="R17" i="1" s="1"/>
  <c r="E17" i="1" s="1"/>
  <c r="P17" i="1"/>
  <c r="D17" i="1"/>
  <c r="C17" i="1"/>
  <c r="T16" i="1"/>
  <c r="U16" i="1" s="1"/>
  <c r="P16" i="1"/>
  <c r="Q16" i="1" s="1"/>
  <c r="R16" i="1" s="1"/>
  <c r="E16" i="1" s="1"/>
  <c r="D16" i="1"/>
  <c r="C16" i="1"/>
  <c r="T15" i="1"/>
  <c r="U15" i="1" s="1"/>
  <c r="P15" i="1"/>
  <c r="Q15" i="1" s="1"/>
  <c r="R15" i="1" s="1"/>
  <c r="E15" i="1" s="1"/>
  <c r="D15" i="1"/>
  <c r="C15" i="1"/>
  <c r="T14" i="1"/>
  <c r="U14" i="1" s="1"/>
  <c r="P14" i="1"/>
  <c r="Q14" i="1" s="1"/>
  <c r="R14" i="1" s="1"/>
  <c r="E14" i="1" s="1"/>
  <c r="D14" i="1"/>
  <c r="C14" i="1"/>
  <c r="U13" i="1"/>
  <c r="T13" i="1"/>
  <c r="P13" i="1"/>
  <c r="Q13" i="1" s="1"/>
  <c r="R13" i="1" s="1"/>
  <c r="E13" i="1" s="1"/>
  <c r="D13" i="1"/>
  <c r="C13" i="1"/>
  <c r="T12" i="1"/>
  <c r="U12" i="1" s="1"/>
  <c r="R12" i="1"/>
  <c r="P12" i="1"/>
  <c r="Q12" i="1" s="1"/>
  <c r="E12" i="1"/>
  <c r="D12" i="1"/>
  <c r="C12" i="1"/>
  <c r="T11" i="1"/>
  <c r="U11" i="1" s="1"/>
  <c r="R11" i="1"/>
  <c r="P11" i="1"/>
  <c r="Q11" i="1" s="1"/>
  <c r="E11" i="1"/>
  <c r="D11" i="1"/>
  <c r="C11" i="1"/>
  <c r="T10" i="1"/>
  <c r="U10" i="1" s="1"/>
  <c r="P10" i="1"/>
  <c r="Q10" i="1" s="1"/>
  <c r="R10" i="1" s="1"/>
  <c r="E10" i="1" s="1"/>
  <c r="D10" i="1"/>
  <c r="C10" i="1"/>
  <c r="T9" i="1"/>
  <c r="U9" i="1" s="1"/>
  <c r="P9" i="1"/>
  <c r="Q9" i="1" s="1"/>
  <c r="R9" i="1" s="1"/>
  <c r="E9" i="1" s="1"/>
  <c r="K9" i="1"/>
  <c r="J9" i="1" s="1"/>
  <c r="D9" i="1"/>
  <c r="C9" i="1"/>
  <c r="T8" i="1"/>
  <c r="U8" i="1" s="1"/>
  <c r="P8" i="1"/>
  <c r="Q8" i="1" s="1"/>
  <c r="R8" i="1" s="1"/>
  <c r="L8" i="1"/>
  <c r="J8" i="1"/>
  <c r="H8" i="1"/>
  <c r="D8" i="1"/>
  <c r="C8" i="1"/>
  <c r="A8" i="1"/>
  <c r="B8" i="1" s="1"/>
  <c r="C5" i="1"/>
  <c r="C4" i="1"/>
  <c r="C3" i="1"/>
  <c r="A1" i="1"/>
  <c r="L9" i="1" l="1"/>
  <c r="U39" i="1"/>
  <c r="E8" i="1"/>
  <c r="R39" i="1"/>
  <c r="E41" i="1" s="1"/>
  <c r="A9" i="1"/>
  <c r="B9" i="1" s="1"/>
  <c r="H9" i="1"/>
  <c r="K10" i="1"/>
  <c r="L10" i="1" l="1"/>
  <c r="J10" i="1"/>
  <c r="H10" i="1"/>
  <c r="A10" i="1"/>
  <c r="B10" i="1" s="1"/>
  <c r="K11" i="1"/>
  <c r="K12" i="1" l="1"/>
  <c r="H11" i="1"/>
  <c r="L11" i="1"/>
  <c r="A11" i="1"/>
  <c r="B11" i="1" s="1"/>
  <c r="J11" i="1"/>
  <c r="A12" i="1" l="1"/>
  <c r="B12" i="1" s="1"/>
  <c r="K13" i="1"/>
  <c r="H12" i="1"/>
  <c r="L12" i="1"/>
  <c r="J12" i="1"/>
  <c r="A13" i="1" l="1"/>
  <c r="B13" i="1" s="1"/>
  <c r="H13" i="1"/>
  <c r="J13" i="1"/>
  <c r="K14" i="1"/>
  <c r="L13" i="1"/>
  <c r="J14" i="1" l="1"/>
  <c r="A14" i="1"/>
  <c r="B14" i="1" s="1"/>
  <c r="H14" i="1"/>
  <c r="K15" i="1"/>
  <c r="L14" i="1"/>
  <c r="K16" i="1" l="1"/>
  <c r="H15" i="1"/>
  <c r="L15" i="1"/>
  <c r="J15" i="1"/>
  <c r="A15" i="1"/>
  <c r="B15" i="1" s="1"/>
  <c r="J16" i="1" l="1"/>
  <c r="K17" i="1"/>
  <c r="H16" i="1"/>
  <c r="L16" i="1"/>
  <c r="A16" i="1"/>
  <c r="B16" i="1" s="1"/>
  <c r="L17" i="1" l="1"/>
  <c r="J17" i="1"/>
  <c r="K18" i="1"/>
  <c r="H17" i="1"/>
  <c r="A17" i="1"/>
  <c r="B17" i="1" s="1"/>
  <c r="L18" i="1" l="1"/>
  <c r="J18" i="1"/>
  <c r="A18" i="1"/>
  <c r="B18" i="1" s="1"/>
  <c r="K19" i="1"/>
  <c r="H18" i="1"/>
  <c r="L19" i="1" l="1"/>
  <c r="H19" i="1"/>
  <c r="J19" i="1"/>
  <c r="K20" i="1"/>
  <c r="A19" i="1"/>
  <c r="B19" i="1" s="1"/>
  <c r="H20" i="1" l="1"/>
  <c r="K21" i="1"/>
  <c r="A20" i="1"/>
  <c r="B20" i="1" s="1"/>
  <c r="L20" i="1"/>
  <c r="J20" i="1"/>
  <c r="A21" i="1" l="1"/>
  <c r="B21" i="1" s="1"/>
  <c r="K22" i="1"/>
  <c r="H21" i="1"/>
  <c r="L21" i="1"/>
  <c r="J21" i="1"/>
  <c r="A22" i="1" l="1"/>
  <c r="B22" i="1" s="1"/>
  <c r="J22" i="1"/>
  <c r="H22" i="1"/>
  <c r="L22" i="1"/>
  <c r="K23" i="1"/>
  <c r="K24" i="1" l="1"/>
  <c r="H23" i="1"/>
  <c r="A23" i="1"/>
  <c r="B23" i="1" s="1"/>
  <c r="J23" i="1"/>
  <c r="L23" i="1"/>
  <c r="J24" i="1" l="1"/>
  <c r="K25" i="1"/>
  <c r="H24" i="1"/>
  <c r="L24" i="1"/>
  <c r="A24" i="1"/>
  <c r="B24" i="1" s="1"/>
  <c r="L25" i="1" l="1"/>
  <c r="J25" i="1"/>
  <c r="K26" i="1"/>
  <c r="H25" i="1"/>
  <c r="A25" i="1"/>
  <c r="B25" i="1" s="1"/>
  <c r="L26" i="1" l="1"/>
  <c r="J26" i="1"/>
  <c r="A26" i="1"/>
  <c r="B26" i="1" s="1"/>
  <c r="K27" i="1"/>
  <c r="H26" i="1"/>
  <c r="L27" i="1" l="1"/>
  <c r="J27" i="1"/>
  <c r="A27" i="1"/>
  <c r="B27" i="1" s="1"/>
  <c r="K28" i="1"/>
  <c r="H27" i="1"/>
  <c r="A28" i="1" l="1"/>
  <c r="B28" i="1" s="1"/>
  <c r="H28" i="1"/>
  <c r="K29" i="1"/>
  <c r="L28" i="1"/>
  <c r="J28" i="1"/>
  <c r="A29" i="1" l="1"/>
  <c r="B29" i="1" s="1"/>
  <c r="L29" i="1"/>
  <c r="J29" i="1"/>
  <c r="K30" i="1"/>
  <c r="K31" i="1" l="1"/>
  <c r="H30" i="1"/>
  <c r="A30" i="1"/>
  <c r="B30" i="1" s="1"/>
  <c r="L30" i="1"/>
  <c r="J30" i="1"/>
  <c r="J31" i="1" l="1"/>
  <c r="K32" i="1"/>
  <c r="H31" i="1"/>
  <c r="A31" i="1"/>
  <c r="B31" i="1" s="1"/>
  <c r="L31" i="1"/>
  <c r="L32" i="1" l="1"/>
  <c r="J32" i="1"/>
  <c r="K33" i="1"/>
  <c r="H32" i="1"/>
  <c r="A32" i="1"/>
  <c r="B32" i="1" s="1"/>
  <c r="L33" i="1" l="1"/>
  <c r="J33" i="1"/>
  <c r="K34" i="1"/>
  <c r="H33" i="1"/>
  <c r="A33" i="1"/>
  <c r="B33" i="1" s="1"/>
  <c r="L34" i="1" l="1"/>
  <c r="K35" i="1"/>
  <c r="A34" i="1"/>
  <c r="B34" i="1" s="1"/>
  <c r="J34" i="1"/>
  <c r="H34" i="1"/>
  <c r="K36" i="1" l="1"/>
  <c r="A35" i="1"/>
  <c r="B35" i="1" s="1"/>
  <c r="L35" i="1"/>
  <c r="J35" i="1"/>
  <c r="H35" i="1"/>
  <c r="A36" i="1" l="1"/>
  <c r="B36" i="1" s="1"/>
  <c r="J36" i="1"/>
  <c r="L36" i="1"/>
  <c r="K37" i="1"/>
  <c r="H36" i="1"/>
  <c r="A37" i="1" l="1"/>
  <c r="B37" i="1" s="1"/>
  <c r="H37" i="1"/>
  <c r="L37" i="1"/>
  <c r="K38" i="1"/>
  <c r="J37" i="1"/>
  <c r="H38" i="1" l="1"/>
  <c r="A38" i="1"/>
  <c r="B38" i="1" s="1"/>
  <c r="L38" i="1"/>
  <c r="J38" i="1"/>
</calcChain>
</file>

<file path=xl/sharedStrings.xml><?xml version="1.0" encoding="utf-8"?>
<sst xmlns="http://schemas.openxmlformats.org/spreadsheetml/2006/main" count="69" uniqueCount="59">
  <si>
    <t>赤枠のみ入力</t>
  </si>
  <si>
    <t>勤務時間：</t>
  </si>
  <si>
    <t>9:30-18:00（客先が7.5h）</t>
  </si>
  <si>
    <t>定時が17:30ではない場合は、T列（※）で17:30となっている箇所をすべて正しい定時に修正してください。</t>
  </si>
  <si>
    <t>契約名</t>
  </si>
  <si>
    <t>実動＝（終業時刻―始業時刻）－（昼休憩－定時後休憩）</t>
  </si>
  <si>
    <t>社名</t>
  </si>
  <si>
    <t>SMHC株式会社</t>
  </si>
  <si>
    <t>残業時間＝終了時刻―18:00／T列（※）で時刻→時間に変換してます。</t>
  </si>
  <si>
    <t>氏名</t>
  </si>
  <si>
    <t>※</t>
  </si>
  <si>
    <t>日付</t>
  </si>
  <si>
    <t>始業
時刻</t>
  </si>
  <si>
    <t>終業
時刻</t>
  </si>
  <si>
    <t>実働(h)</t>
  </si>
  <si>
    <t>作業内容</t>
  </si>
  <si>
    <t>備考</t>
  </si>
  <si>
    <t>祝日</t>
  </si>
  <si>
    <t>昼休憩(h)</t>
  </si>
  <si>
    <t>終-開
（hh:mm）</t>
  </si>
  <si>
    <t>終-開(h)</t>
  </si>
  <si>
    <t>定時後休憩</t>
  </si>
  <si>
    <t>終-18:00（hh:mm）</t>
  </si>
  <si>
    <t>残業
時間</t>
  </si>
  <si>
    <t>休日</t>
  </si>
  <si>
    <t>休暇</t>
  </si>
  <si>
    <t>SEカレッジ</t>
  </si>
  <si>
    <t>帰社</t>
  </si>
  <si>
    <t>元日</t>
  </si>
  <si>
    <t>年末年始</t>
  </si>
  <si>
    <t>成人の日</t>
  </si>
  <si>
    <t>建国記念の日</t>
  </si>
  <si>
    <t>天皇誕生日(振替)</t>
  </si>
  <si>
    <t>春分の日</t>
  </si>
  <si>
    <t>昭和の日</t>
  </si>
  <si>
    <t>ソフトバンク恩人感謝の日</t>
  </si>
  <si>
    <t>憲法記念日</t>
  </si>
  <si>
    <t>みどりの日</t>
  </si>
  <si>
    <t>こどもの日</t>
  </si>
  <si>
    <t>振替休日（みどりの日）</t>
  </si>
  <si>
    <t>海の日</t>
  </si>
  <si>
    <t>山の日</t>
  </si>
  <si>
    <t>敬老の日</t>
  </si>
  <si>
    <t>秋分の日</t>
  </si>
  <si>
    <t>スポーツの日</t>
  </si>
  <si>
    <t>文化の日</t>
  </si>
  <si>
    <t>勤労感謝の日(振替)</t>
  </si>
  <si>
    <t>出勤日数</t>
  </si>
  <si>
    <t>総労働時間(h)</t>
  </si>
  <si>
    <t>入力列</t>
  </si>
  <si>
    <t>所属：</t>
  </si>
  <si>
    <t>株式会社ニーズウェル</t>
  </si>
  <si>
    <t>役職：</t>
  </si>
  <si>
    <t>先方に確認して入力</t>
  </si>
  <si>
    <t>氏名：</t>
  </si>
  <si>
    <t>印</t>
  </si>
  <si>
    <t>下川</t>
  </si>
  <si>
    <t>泰裕</t>
  </si>
  <si>
    <t>この列には入力しないこと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</si>
</sst>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yyyy&quot;年&quot;m&quot;月分&quot;"/>
    <numFmt numFmtId="177" formatCode="d"/>
    <numFmt numFmtId="178" formatCode="ddd"/>
    <numFmt numFmtId="179" formatCode="[h]:mm"/>
    <numFmt numFmtId="180" formatCode="#,##0.00_ ;[Red]\-#,##0.00\ "/>
    <numFmt numFmtId="181" formatCode="yyyy/mm/dd"/>
    <numFmt numFmtId="182" formatCode="0.0_);[Red]\(0.0\)"/>
    <numFmt numFmtId="183" formatCode="0.0_ "/>
    <numFmt numFmtId="184" formatCode="0.00_);[Red]\(0.00\)"/>
    <numFmt numFmtId="185" formatCode="#,##0.0_ ;[Red]\-#,##0.0\ "/>
  </numFmts>
  <fonts count="15">
    <font>
      <sz val="11"/>
      <color rgb="FF000000"/>
      <name val="Calibri"/>
      <scheme val="minor"/>
    </font>
    <font>
      <b/>
      <sz val="18"/>
      <color theme="1"/>
      <name val="ＭＳ ゴシック"/>
      <family val="2"/>
      <charset val="128"/>
    </font>
    <font>
      <sz val="11"/>
      <color theme="1"/>
      <name val="ＭＳ ゴシック"/>
      <family val="2"/>
      <charset val="128"/>
    </font>
    <font>
      <sz val="14"/>
      <color rgb="FFFF0000"/>
      <name val="ＭＳ ゴシック"/>
      <family val="2"/>
      <charset val="128"/>
    </font>
    <font>
      <b/>
      <sz val="22"/>
      <color theme="1"/>
      <name val="ＭＳ ゴシック"/>
      <family val="2"/>
      <charset val="128"/>
    </font>
    <font>
      <b/>
      <sz val="11"/>
      <color theme="1"/>
      <name val="ＭＳ ゴシック"/>
      <family val="2"/>
      <charset val="128"/>
    </font>
    <font>
      <sz val="11"/>
      <color theme="1"/>
      <name val="MS PGothic"/>
      <family val="2"/>
      <charset val="128"/>
    </font>
    <font>
      <sz val="11"/>
      <color rgb="FFFF0000"/>
      <name val="ＭＳ ゴシック"/>
      <family val="2"/>
      <charset val="128"/>
    </font>
    <font>
      <sz val="12"/>
      <color theme="1"/>
      <name val="ＭＳ ゴシック"/>
      <family val="2"/>
      <charset val="128"/>
    </font>
    <font>
      <sz val="11"/>
      <color rgb="FF000000"/>
      <name val="ＭＳ ゴシック"/>
      <family val="2"/>
      <charset val="128"/>
    </font>
    <font>
      <sz val="7"/>
      <color theme="1"/>
      <name val="ＭＳ ゴシック"/>
      <family val="2"/>
      <charset val="128"/>
    </font>
    <font>
      <b/>
      <sz val="12"/>
      <color theme="1"/>
      <name val="ＭＳ ゴシック"/>
      <family val="2"/>
      <charset val="128"/>
    </font>
    <font>
      <sz val="16"/>
      <color theme="1"/>
      <name val="ＭＳ ゴシック"/>
      <family val="2"/>
      <charset val="128"/>
    </font>
    <font>
      <sz val="16"/>
      <color rgb="FFFF0000"/>
      <name val="ＭＳ ゴシック"/>
      <family val="2"/>
      <charset val="128"/>
    </font>
    <font>
      <sz val="6"/>
      <name val="Calibri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0C0C0"/>
        <bgColor rgb="FFC0C0C0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/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/>
      <right/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95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76" fontId="4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left" vertical="center" shrinkToFit="1"/>
    </xf>
    <xf numFmtId="0" fontId="6" fillId="0" borderId="0" xfId="0" applyFont="1" applyAlignment="1">
      <alignment horizontal="left" vertical="center" shrinkToFit="1"/>
    </xf>
    <xf numFmtId="0" fontId="7" fillId="0" borderId="0" xfId="0" applyFont="1" applyAlignment="1">
      <alignment vertical="center"/>
    </xf>
    <xf numFmtId="176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2" fillId="0" borderId="5" xfId="0" applyFont="1" applyBorder="1" applyAlignment="1">
      <alignment vertical="center" shrinkToFit="1"/>
    </xf>
    <xf numFmtId="0" fontId="7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77" fontId="2" fillId="0" borderId="8" xfId="0" applyNumberFormat="1" applyFont="1" applyBorder="1" applyAlignment="1">
      <alignment horizontal="center" vertical="center"/>
    </xf>
    <xf numFmtId="178" fontId="9" fillId="0" borderId="6" xfId="0" applyNumberFormat="1" applyFont="1" applyBorder="1" applyAlignment="1">
      <alignment horizontal="center"/>
    </xf>
    <xf numFmtId="179" fontId="2" fillId="0" borderId="8" xfId="0" applyNumberFormat="1" applyFont="1" applyBorder="1" applyAlignment="1">
      <alignment horizontal="center" vertical="center"/>
    </xf>
    <xf numFmtId="180" fontId="5" fillId="0" borderId="8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81" fontId="2" fillId="0" borderId="3" xfId="0" applyNumberFormat="1" applyFont="1" applyBorder="1" applyAlignment="1">
      <alignment horizontal="center" vertical="center" shrinkToFit="1"/>
    </xf>
    <xf numFmtId="178" fontId="9" fillId="0" borderId="18" xfId="0" applyNumberFormat="1" applyFont="1" applyBorder="1" applyAlignment="1">
      <alignment horizontal="center"/>
    </xf>
    <xf numFmtId="179" fontId="2" fillId="0" borderId="16" xfId="0" applyNumberFormat="1" applyFont="1" applyBorder="1" applyAlignment="1">
      <alignment horizontal="center" vertical="center"/>
    </xf>
    <xf numFmtId="20" fontId="2" fillId="0" borderId="6" xfId="0" applyNumberFormat="1" applyFont="1" applyBorder="1" applyAlignment="1">
      <alignment horizontal="center" vertical="center"/>
    </xf>
    <xf numFmtId="182" fontId="2" fillId="0" borderId="19" xfId="0" applyNumberFormat="1" applyFont="1" applyBorder="1" applyAlignment="1">
      <alignment horizontal="center" vertical="center"/>
    </xf>
    <xf numFmtId="179" fontId="5" fillId="0" borderId="7" xfId="0" applyNumberFormat="1" applyFont="1" applyBorder="1" applyAlignment="1">
      <alignment horizontal="center" vertical="center"/>
    </xf>
    <xf numFmtId="183" fontId="5" fillId="0" borderId="8" xfId="0" applyNumberFormat="1" applyFont="1" applyBorder="1" applyAlignment="1">
      <alignment horizontal="center" vertical="center"/>
    </xf>
    <xf numFmtId="184" fontId="5" fillId="0" borderId="4" xfId="0" applyNumberFormat="1" applyFont="1" applyBorder="1" applyAlignment="1">
      <alignment horizontal="center" vertical="center"/>
    </xf>
    <xf numFmtId="182" fontId="2" fillId="0" borderId="18" xfId="0" applyNumberFormat="1" applyFont="1" applyBorder="1" applyAlignment="1">
      <alignment horizontal="center" vertical="center"/>
    </xf>
    <xf numFmtId="20" fontId="5" fillId="0" borderId="16" xfId="0" applyNumberFormat="1" applyFont="1" applyBorder="1" applyAlignment="1">
      <alignment horizontal="center" vertical="center"/>
    </xf>
    <xf numFmtId="183" fontId="5" fillId="0" borderId="7" xfId="0" applyNumberFormat="1" applyFont="1" applyBorder="1" applyAlignment="1">
      <alignment horizontal="center" vertical="center"/>
    </xf>
    <xf numFmtId="180" fontId="2" fillId="0" borderId="0" xfId="0" applyNumberFormat="1" applyFont="1" applyAlignment="1">
      <alignment vertical="center"/>
    </xf>
    <xf numFmtId="181" fontId="2" fillId="0" borderId="0" xfId="0" applyNumberFormat="1" applyFont="1" applyAlignment="1">
      <alignment horizontal="right" vertical="center"/>
    </xf>
    <xf numFmtId="181" fontId="2" fillId="0" borderId="0" xfId="0" applyNumberFormat="1" applyFont="1" applyAlignment="1">
      <alignment vertical="center"/>
    </xf>
    <xf numFmtId="181" fontId="2" fillId="0" borderId="20" xfId="0" applyNumberFormat="1" applyFont="1" applyBorder="1" applyAlignment="1">
      <alignment horizontal="center" vertical="center" shrinkToFit="1"/>
    </xf>
    <xf numFmtId="181" fontId="2" fillId="0" borderId="8" xfId="0" applyNumberFormat="1" applyFont="1" applyBorder="1" applyAlignment="1">
      <alignment horizontal="center" vertical="center" shrinkToFit="1"/>
    </xf>
    <xf numFmtId="14" fontId="2" fillId="0" borderId="0" xfId="0" applyNumberFormat="1" applyFont="1" applyAlignment="1">
      <alignment vertical="center"/>
    </xf>
    <xf numFmtId="14" fontId="2" fillId="0" borderId="0" xfId="0" applyNumberFormat="1" applyFont="1" applyAlignment="1">
      <alignment horizontal="center" vertical="center" shrinkToFit="1"/>
    </xf>
    <xf numFmtId="184" fontId="5" fillId="0" borderId="8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184" fontId="11" fillId="0" borderId="8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 shrinkToFit="1"/>
    </xf>
    <xf numFmtId="0" fontId="12" fillId="0" borderId="8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184" fontId="11" fillId="0" borderId="0" xfId="0" applyNumberFormat="1" applyFont="1" applyAlignment="1">
      <alignment horizontal="right" vertical="center"/>
    </xf>
    <xf numFmtId="0" fontId="2" fillId="0" borderId="23" xfId="0" applyFont="1" applyBorder="1" applyAlignment="1">
      <alignment vertical="center" shrinkToFit="1"/>
    </xf>
    <xf numFmtId="0" fontId="6" fillId="0" borderId="23" xfId="0" applyFont="1" applyBorder="1" applyAlignment="1">
      <alignment vertical="center" shrinkToFit="1"/>
    </xf>
    <xf numFmtId="0" fontId="6" fillId="0" borderId="24" xfId="0" applyFont="1" applyBorder="1" applyAlignment="1">
      <alignment vertical="center"/>
    </xf>
    <xf numFmtId="0" fontId="2" fillId="0" borderId="2" xfId="0" applyFont="1" applyBorder="1" applyAlignment="1">
      <alignment vertical="center" shrinkToFit="1"/>
    </xf>
    <xf numFmtId="0" fontId="6" fillId="0" borderId="2" xfId="0" applyFont="1" applyBorder="1" applyAlignment="1">
      <alignment vertical="center" shrinkToFit="1"/>
    </xf>
    <xf numFmtId="0" fontId="6" fillId="0" borderId="25" xfId="0" applyFont="1" applyBorder="1" applyAlignment="1">
      <alignment vertical="center" shrinkToFit="1"/>
    </xf>
    <xf numFmtId="0" fontId="2" fillId="0" borderId="26" xfId="0" applyFont="1" applyBorder="1" applyAlignment="1">
      <alignment vertical="center" shrinkToFit="1"/>
    </xf>
    <xf numFmtId="0" fontId="2" fillId="0" borderId="25" xfId="0" applyFont="1" applyBorder="1" applyAlignment="1">
      <alignment vertical="center" shrinkToFit="1"/>
    </xf>
    <xf numFmtId="0" fontId="0" fillId="0" borderId="0" xfId="0"/>
    <xf numFmtId="0" fontId="2" fillId="0" borderId="8" xfId="0" applyFont="1" applyBorder="1" applyAlignment="1">
      <alignment vertical="center" shrinkToFit="1"/>
    </xf>
    <xf numFmtId="0" fontId="0" fillId="0" borderId="13" xfId="0" applyBorder="1"/>
    <xf numFmtId="185" fontId="10" fillId="0" borderId="8" xfId="0" applyNumberFormat="1" applyFont="1" applyBorder="1" applyAlignment="1">
      <alignment vertical="center" shrinkToFit="1"/>
    </xf>
    <xf numFmtId="0" fontId="2" fillId="0" borderId="8" xfId="0" applyFont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shrinkToFit="1"/>
    </xf>
    <xf numFmtId="0" fontId="12" fillId="0" borderId="8" xfId="0" applyFont="1" applyBorder="1" applyAlignment="1">
      <alignment horizontal="center" vertical="center" shrinkToFit="1"/>
    </xf>
    <xf numFmtId="0" fontId="0" fillId="0" borderId="9" xfId="0" applyBorder="1"/>
    <xf numFmtId="0" fontId="6" fillId="0" borderId="5" xfId="0" applyFont="1" applyBorder="1" applyAlignment="1">
      <alignment vertical="center" shrinkToFit="1"/>
    </xf>
    <xf numFmtId="0" fontId="0" fillId="0" borderId="3" xfId="0" applyBorder="1"/>
    <xf numFmtId="0" fontId="2" fillId="0" borderId="5" xfId="0" applyFont="1" applyBorder="1" applyAlignment="1">
      <alignment vertical="center" shrinkToFit="1"/>
    </xf>
    <xf numFmtId="0" fontId="0" fillId="0" borderId="2" xfId="0" applyBorder="1"/>
    <xf numFmtId="0" fontId="2" fillId="0" borderId="5" xfId="0" applyFont="1" applyBorder="1" applyAlignment="1">
      <alignment vertical="center" wrapText="1" shrinkToFit="1"/>
    </xf>
    <xf numFmtId="0" fontId="2" fillId="0" borderId="0" xfId="0" applyFont="1" applyAlignment="1">
      <alignment vertical="center" shrinkToFit="1"/>
    </xf>
    <xf numFmtId="0" fontId="0" fillId="0" borderId="0" xfId="0"/>
    <xf numFmtId="176" fontId="1" fillId="0" borderId="0" xfId="0" applyNumberFormat="1" applyFont="1" applyAlignment="1">
      <alignment horizontal="left" vertical="center" shrinkToFit="1"/>
    </xf>
    <xf numFmtId="0" fontId="6" fillId="0" borderId="26" xfId="0" applyFont="1" applyBorder="1" applyAlignment="1">
      <alignment vertical="center" shrinkToFit="1"/>
    </xf>
    <xf numFmtId="0" fontId="0" fillId="0" borderId="27" xfId="0" applyBorder="1"/>
    <xf numFmtId="0" fontId="2" fillId="0" borderId="8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13" fillId="0" borderId="8" xfId="0" applyFont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shrinkToFit="1"/>
    </xf>
    <xf numFmtId="0" fontId="2" fillId="0" borderId="9" xfId="0" applyFont="1" applyBorder="1" applyAlignment="1">
      <alignment vertical="center" shrinkToFit="1"/>
    </xf>
  </cellXfs>
  <cellStyles count="1">
    <cellStyle name="標準" xfId="0" builtinId="0"/>
  </cellStyles>
  <dxfs count="1">
    <dxf>
      <fill>
        <patternFill patternType="solid">
          <fgColor rgb="FFBFBFBF"/>
          <bgColor rgb="FFBFBFB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showGridLines="0" tabSelected="1" zoomScale="84" zoomScaleNormal="84" workbookViewId="0">
      <pane xSplit="5" ySplit="7" topLeftCell="H8" activePane="bottomRight" state="frozen"/>
      <selection pane="topRight" activeCell="F1" sqref="F1"/>
      <selection pane="bottomLeft" activeCell="A8" sqref="A8"/>
      <selection pane="bottomRight" activeCell="W14" sqref="W14"/>
    </sheetView>
  </sheetViews>
  <sheetFormatPr defaultColWidth="14.44140625" defaultRowHeight="15" customHeight="1"/>
  <cols>
    <col min="1" max="2" width="4.6640625" style="69" customWidth="1"/>
    <col min="3" max="4" width="7.33203125" style="69" customWidth="1"/>
    <col min="5" max="5" width="12.33203125" style="69" customWidth="1"/>
    <col min="6" max="7" width="11.6640625" style="69" customWidth="1"/>
    <col min="8" max="8" width="13.6640625" style="69" customWidth="1"/>
    <col min="9" max="9" width="9.21875" style="69" customWidth="1"/>
    <col min="10" max="10" width="4.6640625" style="69" customWidth="1"/>
    <col min="11" max="11" width="11.6640625" style="69" customWidth="1"/>
    <col min="12" max="12" width="4.6640625" style="69" customWidth="1"/>
    <col min="13" max="14" width="6.6640625" style="69" customWidth="1"/>
    <col min="15" max="16" width="8.33203125" style="69" customWidth="1"/>
    <col min="17" max="17" width="9.33203125" style="69" customWidth="1"/>
    <col min="18" max="18" width="10.6640625" style="69" customWidth="1"/>
    <col min="19" max="20" width="6.6640625" style="69" customWidth="1"/>
    <col min="21" max="21" width="8.21875" style="69" customWidth="1"/>
    <col min="22" max="22" width="12.21875" style="69" customWidth="1"/>
    <col min="23" max="25" width="7.6640625" style="69" customWidth="1"/>
    <col min="26" max="29" width="12.21875" style="69" customWidth="1"/>
  </cols>
  <sheetData>
    <row r="1" spans="1:29" ht="25.8" customHeight="1">
      <c r="A1" s="84">
        <f>K8</f>
        <v>46023</v>
      </c>
      <c r="B1" s="83"/>
      <c r="C1" s="83"/>
      <c r="D1" s="83"/>
      <c r="E1" s="83"/>
      <c r="F1" s="83"/>
      <c r="G1" s="83"/>
      <c r="H1" s="83"/>
      <c r="I1" s="83"/>
      <c r="J1" s="1"/>
      <c r="K1" s="2" t="s">
        <v>0</v>
      </c>
      <c r="L1" s="1"/>
      <c r="M1" s="1"/>
      <c r="N1" s="3" t="s">
        <v>1</v>
      </c>
      <c r="O1" s="3" t="s">
        <v>2</v>
      </c>
      <c r="P1" s="3"/>
      <c r="Q1" s="3"/>
      <c r="R1" s="3"/>
      <c r="S1" s="4"/>
      <c r="T1" s="4"/>
      <c r="U1" s="4"/>
      <c r="V1" s="4"/>
      <c r="W1" s="3"/>
      <c r="X1" s="3"/>
      <c r="Y1" s="3"/>
      <c r="Z1" s="3"/>
      <c r="AA1" s="3"/>
      <c r="AB1" s="3"/>
      <c r="AC1" s="3"/>
    </row>
    <row r="2" spans="1:29" ht="13.5" customHeight="1">
      <c r="A2" s="5"/>
      <c r="B2" s="5"/>
      <c r="C2" s="5"/>
      <c r="D2" s="5"/>
      <c r="E2" s="5"/>
      <c r="F2" s="5"/>
      <c r="G2" s="5"/>
      <c r="H2" s="5"/>
      <c r="I2" s="6"/>
      <c r="J2" s="1"/>
      <c r="K2" s="7"/>
      <c r="L2" s="1"/>
      <c r="M2" s="1"/>
      <c r="N2" s="3" t="s">
        <v>3</v>
      </c>
      <c r="O2" s="3"/>
      <c r="P2" s="3"/>
      <c r="Q2" s="3"/>
      <c r="R2" s="3"/>
      <c r="S2" s="8"/>
      <c r="T2" s="8"/>
      <c r="U2" s="8"/>
      <c r="V2" s="8"/>
      <c r="W2" s="3"/>
      <c r="X2" s="3"/>
      <c r="Y2" s="3"/>
      <c r="Z2" s="3"/>
      <c r="AA2" s="3"/>
      <c r="AB2" s="3"/>
      <c r="AC2" s="3"/>
    </row>
    <row r="3" spans="1:29" ht="18.75" customHeight="1">
      <c r="A3" s="88" t="s">
        <v>4</v>
      </c>
      <c r="B3" s="89"/>
      <c r="C3" s="93">
        <f>K3</f>
        <v>0</v>
      </c>
      <c r="D3" s="89"/>
      <c r="E3" s="89"/>
      <c r="F3" s="89"/>
      <c r="G3" s="89"/>
      <c r="H3" s="3"/>
      <c r="I3" s="3"/>
      <c r="J3" s="3"/>
      <c r="K3" s="81"/>
      <c r="L3" s="80"/>
      <c r="M3" s="78"/>
      <c r="N3" s="3" t="s">
        <v>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8.75" customHeight="1">
      <c r="A4" s="88" t="s">
        <v>6</v>
      </c>
      <c r="B4" s="89"/>
      <c r="C4" s="93" t="str">
        <f>K4</f>
        <v>SMHC株式会社</v>
      </c>
      <c r="D4" s="89"/>
      <c r="E4" s="89"/>
      <c r="F4" s="3"/>
      <c r="G4" s="3"/>
      <c r="H4" s="3"/>
      <c r="I4" s="3"/>
      <c r="J4" s="9"/>
      <c r="K4" s="79" t="s">
        <v>7</v>
      </c>
      <c r="L4" s="80"/>
      <c r="M4" s="78"/>
      <c r="N4" s="3" t="s">
        <v>8</v>
      </c>
      <c r="O4" s="3"/>
      <c r="P4" s="3"/>
      <c r="Q4" s="3"/>
      <c r="R4" s="3"/>
      <c r="S4" s="10"/>
      <c r="T4" s="11"/>
      <c r="U4" s="11"/>
      <c r="V4" s="11"/>
      <c r="W4" s="3"/>
      <c r="X4" s="3"/>
      <c r="Y4" s="3"/>
      <c r="Z4" s="3"/>
      <c r="AA4" s="3"/>
      <c r="AB4" s="3"/>
      <c r="AC4" s="3"/>
    </row>
    <row r="5" spans="1:29" ht="18.75" customHeight="1">
      <c r="A5" s="91" t="s">
        <v>9</v>
      </c>
      <c r="B5" s="76"/>
      <c r="C5" s="94" t="str">
        <f>K5&amp;" "&amp;L5</f>
        <v xml:space="preserve"> </v>
      </c>
      <c r="D5" s="76"/>
      <c r="E5" s="76"/>
      <c r="F5" s="3"/>
      <c r="G5" s="3"/>
      <c r="H5" s="3"/>
      <c r="I5" s="3"/>
      <c r="J5" s="9"/>
      <c r="K5" s="12"/>
      <c r="L5" s="77"/>
      <c r="M5" s="78"/>
      <c r="N5" s="3"/>
      <c r="O5" s="3"/>
      <c r="P5" s="3"/>
      <c r="Q5" s="3"/>
      <c r="R5" s="3"/>
      <c r="S5" s="10"/>
      <c r="T5" s="11"/>
      <c r="U5" s="11"/>
      <c r="V5" s="11"/>
      <c r="W5" s="3"/>
      <c r="X5" s="3"/>
      <c r="Y5" s="3"/>
      <c r="Z5" s="3"/>
      <c r="AA5" s="3"/>
      <c r="AB5" s="3"/>
      <c r="AC5" s="3"/>
    </row>
    <row r="6" spans="1:29" ht="13.5" customHeight="1">
      <c r="A6" s="10"/>
      <c r="B6" s="3"/>
      <c r="C6" s="3"/>
      <c r="D6" s="3"/>
      <c r="E6" s="3"/>
      <c r="F6" s="3"/>
      <c r="G6" s="3"/>
      <c r="H6" s="3"/>
      <c r="I6" s="3"/>
      <c r="J6" s="3"/>
      <c r="K6" s="7"/>
      <c r="L6" s="3"/>
      <c r="M6" s="3"/>
      <c r="N6" s="3"/>
      <c r="O6" s="3"/>
      <c r="P6" s="3"/>
      <c r="Q6" s="3"/>
      <c r="R6" s="3"/>
      <c r="S6" s="3"/>
      <c r="T6" s="13" t="s">
        <v>10</v>
      </c>
      <c r="U6" s="3"/>
      <c r="V6" s="3"/>
      <c r="W6" s="3"/>
      <c r="X6" s="3"/>
      <c r="Y6" s="3"/>
      <c r="Z6" s="3"/>
      <c r="AA6" s="3"/>
      <c r="AB6" s="3"/>
      <c r="AC6" s="3"/>
    </row>
    <row r="7" spans="1:29" ht="27" customHeight="1">
      <c r="A7" s="73" t="s">
        <v>11</v>
      </c>
      <c r="B7" s="71"/>
      <c r="C7" s="14" t="s">
        <v>12</v>
      </c>
      <c r="D7" s="14" t="s">
        <v>13</v>
      </c>
      <c r="E7" s="15" t="s">
        <v>14</v>
      </c>
      <c r="F7" s="87" t="s">
        <v>15</v>
      </c>
      <c r="G7" s="71"/>
      <c r="H7" s="87" t="s">
        <v>16</v>
      </c>
      <c r="I7" s="71"/>
      <c r="J7" s="16" t="s">
        <v>17</v>
      </c>
      <c r="K7" s="92" t="s">
        <v>11</v>
      </c>
      <c r="L7" s="76"/>
      <c r="M7" s="17" t="s">
        <v>12</v>
      </c>
      <c r="N7" s="18" t="s">
        <v>13</v>
      </c>
      <c r="O7" s="19" t="s">
        <v>18</v>
      </c>
      <c r="P7" s="20" t="s">
        <v>19</v>
      </c>
      <c r="Q7" s="21" t="s">
        <v>20</v>
      </c>
      <c r="R7" s="22" t="s">
        <v>14</v>
      </c>
      <c r="S7" s="23" t="s">
        <v>21</v>
      </c>
      <c r="T7" s="24" t="s">
        <v>22</v>
      </c>
      <c r="U7" s="25" t="s">
        <v>23</v>
      </c>
      <c r="V7" s="26"/>
      <c r="W7" s="26"/>
      <c r="X7" s="3"/>
      <c r="Y7" s="3"/>
      <c r="Z7" s="3" t="s">
        <v>24</v>
      </c>
      <c r="AA7" s="3" t="s">
        <v>25</v>
      </c>
      <c r="AB7" s="3" t="s">
        <v>26</v>
      </c>
      <c r="AC7" s="3" t="s">
        <v>27</v>
      </c>
    </row>
    <row r="8" spans="1:29" ht="15.75" customHeight="1">
      <c r="A8" s="27">
        <f t="shared" ref="A8:A38" si="0">IF(K8="","",K8)</f>
        <v>46023</v>
      </c>
      <c r="B8" s="28">
        <f t="shared" ref="B8:B38" si="1">IF(A8="","",A8)</f>
        <v>46023</v>
      </c>
      <c r="C8" s="29" t="str">
        <f t="shared" ref="C8:C38" si="2">IF(M8="","",M8)</f>
        <v/>
      </c>
      <c r="D8" s="29" t="str">
        <f t="shared" ref="D8:D38" si="3">IF(N8="","",N8)</f>
        <v/>
      </c>
      <c r="E8" s="30" t="str">
        <f t="shared" ref="E8:E38" si="4">IF(R8="","",R8)</f>
        <v/>
      </c>
      <c r="F8" s="72"/>
      <c r="G8" s="71"/>
      <c r="H8" s="70" t="str">
        <f t="shared" ref="H8:H28" si="5">IF(COUNTBLANK(K8)=1,"",IF(COUNTIF($Z$8:$Z$38,K8)&gt;0,VLOOKUP($K8,$Z$8:$AA$38,2,FALSE),IF(COUNTIF($AB$8:$AB$38,K8)&gt;0,VLOOKUP($K8,$AB$8:$AC$38,2,FALSE),"")))</f>
        <v>元日</v>
      </c>
      <c r="I8" s="71"/>
      <c r="J8" s="31" t="str">
        <f t="shared" ref="J8:J38" si="6">IF(K8="","",IF(COUNTIF(Z$8:Z$31,K8)&gt;0,"*",""))</f>
        <v>*</v>
      </c>
      <c r="K8" s="32">
        <v>46023</v>
      </c>
      <c r="L8" s="33">
        <f t="shared" ref="L8:L38" si="7">K8</f>
        <v>46023</v>
      </c>
      <c r="M8" s="34"/>
      <c r="N8" s="35"/>
      <c r="O8" s="36"/>
      <c r="P8" s="37" t="str">
        <f t="shared" ref="P8:P38" si="8">IF(M8&lt;&gt;"",IF(N8&lt;&gt;"",N8-M8,""),"")</f>
        <v/>
      </c>
      <c r="Q8" s="38" t="str">
        <f t="shared" ref="Q8:Q38" si="9">IF(P8&lt;&gt;"", ROUND((N8-M8)*24,2),"")</f>
        <v/>
      </c>
      <c r="R8" s="39" t="str">
        <f t="shared" ref="R8:R38" si="10">IF(M8&lt;&gt;"",IF(N8&lt;&gt;"",Q8-O8-S8,""),"")</f>
        <v/>
      </c>
      <c r="S8" s="40">
        <v>0</v>
      </c>
      <c r="T8" s="41" t="str">
        <f>IF(N8&gt;TIMEVALUE("18:00"),N8-"18:00","")</f>
        <v/>
      </c>
      <c r="U8" s="42" t="str">
        <f t="shared" ref="U8:U38" si="11">IF(T8&lt;&gt;"", ROUND((T8)*24,1)-S8,"")</f>
        <v/>
      </c>
      <c r="V8" s="43"/>
      <c r="W8" s="3"/>
      <c r="X8" s="3"/>
      <c r="Y8" s="3"/>
      <c r="Z8" s="44">
        <v>46023</v>
      </c>
      <c r="AA8" s="3" t="s">
        <v>28</v>
      </c>
      <c r="AB8" s="45"/>
      <c r="AC8" s="45"/>
    </row>
    <row r="9" spans="1:29" ht="16.5" customHeight="1">
      <c r="A9" s="27">
        <f t="shared" si="0"/>
        <v>46024</v>
      </c>
      <c r="B9" s="28">
        <f t="shared" si="1"/>
        <v>46024</v>
      </c>
      <c r="C9" s="29" t="str">
        <f t="shared" si="2"/>
        <v/>
      </c>
      <c r="D9" s="29" t="str">
        <f t="shared" si="3"/>
        <v/>
      </c>
      <c r="E9" s="30" t="str">
        <f t="shared" si="4"/>
        <v/>
      </c>
      <c r="F9" s="72"/>
      <c r="G9" s="71"/>
      <c r="H9" s="70" t="str">
        <f t="shared" si="5"/>
        <v>年末年始</v>
      </c>
      <c r="I9" s="71"/>
      <c r="J9" s="31" t="str">
        <f t="shared" si="6"/>
        <v>*</v>
      </c>
      <c r="K9" s="46">
        <f t="shared" ref="K9:K38" si="12">IF(K8="","",IF(K8+1&gt;EOMONTH($K$8,0),"",K8+1))</f>
        <v>46024</v>
      </c>
      <c r="L9" s="28">
        <f t="shared" si="7"/>
        <v>46024</v>
      </c>
      <c r="M9" s="34"/>
      <c r="N9" s="35"/>
      <c r="O9" s="36"/>
      <c r="P9" s="37" t="str">
        <f t="shared" si="8"/>
        <v/>
      </c>
      <c r="Q9" s="38" t="str">
        <f t="shared" si="9"/>
        <v/>
      </c>
      <c r="R9" s="39" t="str">
        <f t="shared" si="10"/>
        <v/>
      </c>
      <c r="S9" s="40">
        <v>0</v>
      </c>
      <c r="T9" s="41" t="str">
        <f t="shared" ref="T9:T38" si="13">IF(N9&gt;TIMEVALUE("18:30"),N9-"18:30","")</f>
        <v/>
      </c>
      <c r="U9" s="42" t="str">
        <f t="shared" si="11"/>
        <v/>
      </c>
      <c r="V9" s="43"/>
      <c r="W9" s="3"/>
      <c r="X9" s="3"/>
      <c r="Y9" s="3"/>
      <c r="Z9" s="44">
        <v>46024</v>
      </c>
      <c r="AA9" s="3" t="s">
        <v>29</v>
      </c>
      <c r="AB9" s="45"/>
      <c r="AC9" s="45"/>
    </row>
    <row r="10" spans="1:29" ht="16.5" customHeight="1">
      <c r="A10" s="27">
        <f t="shared" si="0"/>
        <v>46025</v>
      </c>
      <c r="B10" s="28">
        <f t="shared" si="1"/>
        <v>46025</v>
      </c>
      <c r="C10" s="29" t="str">
        <f t="shared" si="2"/>
        <v/>
      </c>
      <c r="D10" s="29" t="str">
        <f t="shared" si="3"/>
        <v/>
      </c>
      <c r="E10" s="30" t="str">
        <f t="shared" si="4"/>
        <v/>
      </c>
      <c r="F10" s="72"/>
      <c r="G10" s="71"/>
      <c r="H10" s="70" t="str">
        <f t="shared" si="5"/>
        <v>年末年始</v>
      </c>
      <c r="I10" s="71"/>
      <c r="J10" s="31" t="str">
        <f t="shared" si="6"/>
        <v>*</v>
      </c>
      <c r="K10" s="47">
        <f t="shared" si="12"/>
        <v>46025</v>
      </c>
      <c r="L10" s="28">
        <f t="shared" si="7"/>
        <v>46025</v>
      </c>
      <c r="M10" s="34"/>
      <c r="N10" s="35"/>
      <c r="O10" s="36"/>
      <c r="P10" s="37" t="str">
        <f t="shared" si="8"/>
        <v/>
      </c>
      <c r="Q10" s="38" t="str">
        <f t="shared" si="9"/>
        <v/>
      </c>
      <c r="R10" s="39" t="str">
        <f t="shared" si="10"/>
        <v/>
      </c>
      <c r="S10" s="40">
        <v>0</v>
      </c>
      <c r="T10" s="41" t="str">
        <f t="shared" si="13"/>
        <v/>
      </c>
      <c r="U10" s="42" t="str">
        <f t="shared" si="11"/>
        <v/>
      </c>
      <c r="V10" s="43"/>
      <c r="W10" s="3"/>
      <c r="X10" s="3"/>
      <c r="Y10" s="3"/>
      <c r="Z10" s="44">
        <v>46025</v>
      </c>
      <c r="AA10" s="3" t="s">
        <v>29</v>
      </c>
      <c r="AB10" s="45"/>
      <c r="AC10" s="45"/>
    </row>
    <row r="11" spans="1:29" ht="16.5" customHeight="1">
      <c r="A11" s="27">
        <f t="shared" si="0"/>
        <v>46026</v>
      </c>
      <c r="B11" s="28">
        <f t="shared" si="1"/>
        <v>46026</v>
      </c>
      <c r="C11" s="29" t="str">
        <f t="shared" si="2"/>
        <v/>
      </c>
      <c r="D11" s="29" t="str">
        <f t="shared" si="3"/>
        <v/>
      </c>
      <c r="E11" s="30" t="str">
        <f t="shared" si="4"/>
        <v/>
      </c>
      <c r="F11" s="72"/>
      <c r="G11" s="71"/>
      <c r="H11" s="70" t="str">
        <f t="shared" si="5"/>
        <v/>
      </c>
      <c r="I11" s="71"/>
      <c r="J11" s="31" t="str">
        <f t="shared" si="6"/>
        <v/>
      </c>
      <c r="K11" s="47">
        <f t="shared" si="12"/>
        <v>46026</v>
      </c>
      <c r="L11" s="28">
        <f t="shared" si="7"/>
        <v>46026</v>
      </c>
      <c r="M11" s="34"/>
      <c r="N11" s="35"/>
      <c r="O11" s="36"/>
      <c r="P11" s="37" t="str">
        <f t="shared" si="8"/>
        <v/>
      </c>
      <c r="Q11" s="38" t="str">
        <f t="shared" si="9"/>
        <v/>
      </c>
      <c r="R11" s="39" t="str">
        <f t="shared" si="10"/>
        <v/>
      </c>
      <c r="S11" s="40">
        <v>0</v>
      </c>
      <c r="T11" s="41" t="str">
        <f t="shared" si="13"/>
        <v/>
      </c>
      <c r="U11" s="42" t="str">
        <f t="shared" si="11"/>
        <v/>
      </c>
      <c r="V11" s="43"/>
      <c r="W11" s="3"/>
      <c r="X11" s="3"/>
      <c r="Y11" s="3"/>
      <c r="Z11" s="44">
        <v>46034</v>
      </c>
      <c r="AA11" s="3" t="s">
        <v>30</v>
      </c>
      <c r="AB11" s="45"/>
      <c r="AC11" s="45"/>
    </row>
    <row r="12" spans="1:29" ht="16.5" customHeight="1">
      <c r="A12" s="27">
        <f t="shared" si="0"/>
        <v>46027</v>
      </c>
      <c r="B12" s="28">
        <f t="shared" si="1"/>
        <v>46027</v>
      </c>
      <c r="C12" s="29" t="str">
        <f t="shared" si="2"/>
        <v/>
      </c>
      <c r="D12" s="29" t="str">
        <f t="shared" si="3"/>
        <v/>
      </c>
      <c r="E12" s="30" t="str">
        <f t="shared" si="4"/>
        <v/>
      </c>
      <c r="F12" s="72"/>
      <c r="G12" s="71"/>
      <c r="H12" s="70" t="str">
        <f t="shared" si="5"/>
        <v/>
      </c>
      <c r="I12" s="71"/>
      <c r="J12" s="31" t="str">
        <f t="shared" si="6"/>
        <v/>
      </c>
      <c r="K12" s="47">
        <f t="shared" si="12"/>
        <v>46027</v>
      </c>
      <c r="L12" s="28">
        <f t="shared" si="7"/>
        <v>46027</v>
      </c>
      <c r="M12" s="34"/>
      <c r="N12" s="35"/>
      <c r="O12" s="36"/>
      <c r="P12" s="37" t="str">
        <f t="shared" si="8"/>
        <v/>
      </c>
      <c r="Q12" s="38" t="str">
        <f t="shared" si="9"/>
        <v/>
      </c>
      <c r="R12" s="39" t="str">
        <f t="shared" si="10"/>
        <v/>
      </c>
      <c r="S12" s="40">
        <v>0</v>
      </c>
      <c r="T12" s="41" t="str">
        <f t="shared" si="13"/>
        <v/>
      </c>
      <c r="U12" s="42" t="str">
        <f t="shared" si="11"/>
        <v/>
      </c>
      <c r="V12" s="43"/>
      <c r="W12" s="3"/>
      <c r="X12" s="3"/>
      <c r="Y12" s="3"/>
      <c r="Z12" s="44">
        <v>46064</v>
      </c>
      <c r="AA12" s="45" t="s">
        <v>31</v>
      </c>
      <c r="AB12" s="45"/>
      <c r="AC12" s="45"/>
    </row>
    <row r="13" spans="1:29" ht="16.5" customHeight="1">
      <c r="A13" s="27">
        <f t="shared" si="0"/>
        <v>46028</v>
      </c>
      <c r="B13" s="28">
        <f t="shared" si="1"/>
        <v>46028</v>
      </c>
      <c r="C13" s="29" t="str">
        <f t="shared" si="2"/>
        <v/>
      </c>
      <c r="D13" s="29" t="str">
        <f t="shared" si="3"/>
        <v/>
      </c>
      <c r="E13" s="30" t="str">
        <f t="shared" si="4"/>
        <v/>
      </c>
      <c r="F13" s="72"/>
      <c r="G13" s="71"/>
      <c r="H13" s="70" t="str">
        <f t="shared" si="5"/>
        <v/>
      </c>
      <c r="I13" s="71"/>
      <c r="J13" s="31" t="str">
        <f t="shared" si="6"/>
        <v/>
      </c>
      <c r="K13" s="47">
        <f t="shared" si="12"/>
        <v>46028</v>
      </c>
      <c r="L13" s="28">
        <f t="shared" si="7"/>
        <v>46028</v>
      </c>
      <c r="M13" s="34"/>
      <c r="N13" s="35"/>
      <c r="O13" s="36"/>
      <c r="P13" s="37" t="str">
        <f t="shared" si="8"/>
        <v/>
      </c>
      <c r="Q13" s="38" t="str">
        <f t="shared" si="9"/>
        <v/>
      </c>
      <c r="R13" s="39" t="str">
        <f t="shared" si="10"/>
        <v/>
      </c>
      <c r="S13" s="40">
        <v>0</v>
      </c>
      <c r="T13" s="41" t="str">
        <f t="shared" si="13"/>
        <v/>
      </c>
      <c r="U13" s="42" t="str">
        <f t="shared" si="11"/>
        <v/>
      </c>
      <c r="V13" s="43"/>
      <c r="W13" s="3"/>
      <c r="X13" s="3"/>
      <c r="Y13" s="3"/>
      <c r="Z13" s="44">
        <v>46076</v>
      </c>
      <c r="AA13" s="45" t="s">
        <v>32</v>
      </c>
      <c r="AB13" s="45"/>
      <c r="AC13" s="45"/>
    </row>
    <row r="14" spans="1:29" ht="16.5" customHeight="1">
      <c r="A14" s="27">
        <f t="shared" si="0"/>
        <v>46029</v>
      </c>
      <c r="B14" s="28">
        <f t="shared" si="1"/>
        <v>46029</v>
      </c>
      <c r="C14" s="29" t="str">
        <f t="shared" si="2"/>
        <v/>
      </c>
      <c r="D14" s="29" t="str">
        <f t="shared" si="3"/>
        <v/>
      </c>
      <c r="E14" s="30" t="str">
        <f t="shared" si="4"/>
        <v/>
      </c>
      <c r="F14" s="72"/>
      <c r="G14" s="71"/>
      <c r="H14" s="70" t="str">
        <f t="shared" si="5"/>
        <v/>
      </c>
      <c r="I14" s="71"/>
      <c r="J14" s="31" t="str">
        <f t="shared" si="6"/>
        <v/>
      </c>
      <c r="K14" s="47">
        <f t="shared" si="12"/>
        <v>46029</v>
      </c>
      <c r="L14" s="28">
        <f t="shared" si="7"/>
        <v>46029</v>
      </c>
      <c r="M14" s="34"/>
      <c r="N14" s="35"/>
      <c r="O14" s="36"/>
      <c r="P14" s="37" t="str">
        <f t="shared" si="8"/>
        <v/>
      </c>
      <c r="Q14" s="38" t="str">
        <f t="shared" si="9"/>
        <v/>
      </c>
      <c r="R14" s="39" t="str">
        <f t="shared" si="10"/>
        <v/>
      </c>
      <c r="S14" s="40">
        <v>0</v>
      </c>
      <c r="T14" s="41" t="str">
        <f t="shared" si="13"/>
        <v/>
      </c>
      <c r="U14" s="42" t="str">
        <f t="shared" si="11"/>
        <v/>
      </c>
      <c r="V14" s="43"/>
      <c r="W14" s="3"/>
      <c r="X14" s="3"/>
      <c r="Y14" s="3"/>
      <c r="Z14" s="44">
        <v>46101</v>
      </c>
      <c r="AA14" s="45" t="s">
        <v>33</v>
      </c>
      <c r="AB14" s="45"/>
      <c r="AC14" s="45"/>
    </row>
    <row r="15" spans="1:29" ht="16.5" customHeight="1">
      <c r="A15" s="27">
        <f t="shared" si="0"/>
        <v>46030</v>
      </c>
      <c r="B15" s="28">
        <f t="shared" si="1"/>
        <v>46030</v>
      </c>
      <c r="C15" s="29" t="str">
        <f t="shared" si="2"/>
        <v/>
      </c>
      <c r="D15" s="29" t="str">
        <f t="shared" si="3"/>
        <v/>
      </c>
      <c r="E15" s="30" t="str">
        <f t="shared" si="4"/>
        <v/>
      </c>
      <c r="F15" s="72"/>
      <c r="G15" s="71"/>
      <c r="H15" s="70" t="str">
        <f t="shared" si="5"/>
        <v/>
      </c>
      <c r="I15" s="71"/>
      <c r="J15" s="31" t="str">
        <f t="shared" si="6"/>
        <v/>
      </c>
      <c r="K15" s="47">
        <f t="shared" si="12"/>
        <v>46030</v>
      </c>
      <c r="L15" s="28">
        <f t="shared" si="7"/>
        <v>46030</v>
      </c>
      <c r="M15" s="34"/>
      <c r="N15" s="35"/>
      <c r="O15" s="36"/>
      <c r="P15" s="37" t="str">
        <f t="shared" si="8"/>
        <v/>
      </c>
      <c r="Q15" s="38" t="str">
        <f t="shared" si="9"/>
        <v/>
      </c>
      <c r="R15" s="39" t="str">
        <f t="shared" si="10"/>
        <v/>
      </c>
      <c r="S15" s="40">
        <v>0</v>
      </c>
      <c r="T15" s="41" t="str">
        <f t="shared" si="13"/>
        <v/>
      </c>
      <c r="U15" s="42" t="str">
        <f t="shared" si="11"/>
        <v/>
      </c>
      <c r="V15" s="43"/>
      <c r="W15" s="3"/>
      <c r="X15" s="3"/>
      <c r="Y15" s="3"/>
      <c r="Z15" s="44">
        <v>46141</v>
      </c>
      <c r="AA15" s="45" t="s">
        <v>34</v>
      </c>
      <c r="AB15" s="45"/>
      <c r="AC15" s="45"/>
    </row>
    <row r="16" spans="1:29" ht="16.5" customHeight="1">
      <c r="A16" s="27">
        <f t="shared" si="0"/>
        <v>46031</v>
      </c>
      <c r="B16" s="28">
        <f t="shared" si="1"/>
        <v>46031</v>
      </c>
      <c r="C16" s="29" t="str">
        <f t="shared" si="2"/>
        <v/>
      </c>
      <c r="D16" s="29" t="str">
        <f t="shared" si="3"/>
        <v/>
      </c>
      <c r="E16" s="30" t="str">
        <f t="shared" si="4"/>
        <v/>
      </c>
      <c r="F16" s="72"/>
      <c r="G16" s="71"/>
      <c r="H16" s="70" t="str">
        <f t="shared" si="5"/>
        <v/>
      </c>
      <c r="I16" s="71"/>
      <c r="J16" s="31" t="str">
        <f t="shared" si="6"/>
        <v/>
      </c>
      <c r="K16" s="47">
        <f t="shared" si="12"/>
        <v>46031</v>
      </c>
      <c r="L16" s="28">
        <f t="shared" si="7"/>
        <v>46031</v>
      </c>
      <c r="M16" s="34"/>
      <c r="N16" s="35"/>
      <c r="O16" s="36"/>
      <c r="P16" s="37" t="str">
        <f t="shared" si="8"/>
        <v/>
      </c>
      <c r="Q16" s="38" t="str">
        <f t="shared" si="9"/>
        <v/>
      </c>
      <c r="R16" s="39" t="str">
        <f t="shared" si="10"/>
        <v/>
      </c>
      <c r="S16" s="40">
        <v>0</v>
      </c>
      <c r="T16" s="41" t="str">
        <f t="shared" si="13"/>
        <v/>
      </c>
      <c r="U16" s="42" t="str">
        <f t="shared" si="11"/>
        <v/>
      </c>
      <c r="V16" s="43"/>
      <c r="W16" s="3"/>
      <c r="X16" s="3"/>
      <c r="Y16" s="3"/>
      <c r="Z16" s="44">
        <v>45779</v>
      </c>
      <c r="AA16" s="45" t="s">
        <v>35</v>
      </c>
      <c r="AB16" s="45"/>
      <c r="AC16" s="45"/>
    </row>
    <row r="17" spans="1:29" ht="16.5" customHeight="1">
      <c r="A17" s="27">
        <f t="shared" si="0"/>
        <v>46032</v>
      </c>
      <c r="B17" s="28">
        <f t="shared" si="1"/>
        <v>46032</v>
      </c>
      <c r="C17" s="29" t="str">
        <f t="shared" si="2"/>
        <v/>
      </c>
      <c r="D17" s="29" t="str">
        <f t="shared" si="3"/>
        <v/>
      </c>
      <c r="E17" s="30" t="str">
        <f t="shared" si="4"/>
        <v/>
      </c>
      <c r="F17" s="72"/>
      <c r="G17" s="71"/>
      <c r="H17" s="70" t="str">
        <f t="shared" si="5"/>
        <v/>
      </c>
      <c r="I17" s="71"/>
      <c r="J17" s="31" t="str">
        <f t="shared" si="6"/>
        <v/>
      </c>
      <c r="K17" s="47">
        <f t="shared" si="12"/>
        <v>46032</v>
      </c>
      <c r="L17" s="28">
        <f t="shared" si="7"/>
        <v>46032</v>
      </c>
      <c r="M17" s="34"/>
      <c r="N17" s="35"/>
      <c r="O17" s="36"/>
      <c r="P17" s="37" t="str">
        <f t="shared" si="8"/>
        <v/>
      </c>
      <c r="Q17" s="38" t="str">
        <f t="shared" si="9"/>
        <v/>
      </c>
      <c r="R17" s="39" t="str">
        <f t="shared" si="10"/>
        <v/>
      </c>
      <c r="S17" s="40">
        <v>0</v>
      </c>
      <c r="T17" s="41" t="str">
        <f t="shared" si="13"/>
        <v/>
      </c>
      <c r="U17" s="42" t="str">
        <f t="shared" si="11"/>
        <v/>
      </c>
      <c r="V17" s="43"/>
      <c r="W17" s="3"/>
      <c r="X17" s="3"/>
      <c r="Y17" s="3"/>
      <c r="Z17" s="44">
        <v>46145</v>
      </c>
      <c r="AA17" s="45" t="s">
        <v>36</v>
      </c>
      <c r="AB17" s="45"/>
      <c r="AC17" s="45"/>
    </row>
    <row r="18" spans="1:29" ht="16.5" customHeight="1">
      <c r="A18" s="27">
        <f t="shared" si="0"/>
        <v>46033</v>
      </c>
      <c r="B18" s="28">
        <f t="shared" si="1"/>
        <v>46033</v>
      </c>
      <c r="C18" s="29" t="str">
        <f t="shared" si="2"/>
        <v/>
      </c>
      <c r="D18" s="29" t="str">
        <f t="shared" si="3"/>
        <v/>
      </c>
      <c r="E18" s="30" t="str">
        <f t="shared" si="4"/>
        <v/>
      </c>
      <c r="F18" s="72"/>
      <c r="G18" s="71"/>
      <c r="H18" s="70" t="str">
        <f t="shared" si="5"/>
        <v/>
      </c>
      <c r="I18" s="71"/>
      <c r="J18" s="31" t="str">
        <f t="shared" si="6"/>
        <v/>
      </c>
      <c r="K18" s="47">
        <f t="shared" si="12"/>
        <v>46033</v>
      </c>
      <c r="L18" s="28">
        <f t="shared" si="7"/>
        <v>46033</v>
      </c>
      <c r="M18" s="34"/>
      <c r="N18" s="35"/>
      <c r="O18" s="36"/>
      <c r="P18" s="37" t="str">
        <f t="shared" si="8"/>
        <v/>
      </c>
      <c r="Q18" s="38" t="str">
        <f t="shared" si="9"/>
        <v/>
      </c>
      <c r="R18" s="39" t="str">
        <f t="shared" si="10"/>
        <v/>
      </c>
      <c r="S18" s="40">
        <v>0</v>
      </c>
      <c r="T18" s="41" t="str">
        <f t="shared" si="13"/>
        <v/>
      </c>
      <c r="U18" s="42" t="str">
        <f t="shared" si="11"/>
        <v/>
      </c>
      <c r="V18" s="43"/>
      <c r="W18" s="3"/>
      <c r="X18" s="3"/>
      <c r="Y18" s="3"/>
      <c r="Z18" s="44">
        <v>46146</v>
      </c>
      <c r="AA18" s="45" t="s">
        <v>37</v>
      </c>
      <c r="AB18" s="45"/>
      <c r="AC18" s="45"/>
    </row>
    <row r="19" spans="1:29" ht="16.5" customHeight="1">
      <c r="A19" s="27">
        <f t="shared" si="0"/>
        <v>46034</v>
      </c>
      <c r="B19" s="28">
        <f t="shared" si="1"/>
        <v>46034</v>
      </c>
      <c r="C19" s="29" t="str">
        <f t="shared" si="2"/>
        <v/>
      </c>
      <c r="D19" s="29" t="str">
        <f t="shared" si="3"/>
        <v/>
      </c>
      <c r="E19" s="30" t="str">
        <f t="shared" si="4"/>
        <v/>
      </c>
      <c r="F19" s="72"/>
      <c r="G19" s="71"/>
      <c r="H19" s="70" t="str">
        <f t="shared" si="5"/>
        <v>成人の日</v>
      </c>
      <c r="I19" s="71"/>
      <c r="J19" s="31" t="str">
        <f t="shared" si="6"/>
        <v>*</v>
      </c>
      <c r="K19" s="47">
        <f t="shared" si="12"/>
        <v>46034</v>
      </c>
      <c r="L19" s="28">
        <f t="shared" si="7"/>
        <v>46034</v>
      </c>
      <c r="M19" s="34"/>
      <c r="N19" s="35"/>
      <c r="O19" s="36"/>
      <c r="P19" s="37" t="str">
        <f t="shared" si="8"/>
        <v/>
      </c>
      <c r="Q19" s="38" t="str">
        <f t="shared" si="9"/>
        <v/>
      </c>
      <c r="R19" s="39" t="str">
        <f t="shared" si="10"/>
        <v/>
      </c>
      <c r="S19" s="40">
        <v>0</v>
      </c>
      <c r="T19" s="41" t="str">
        <f t="shared" si="13"/>
        <v/>
      </c>
      <c r="U19" s="42" t="str">
        <f t="shared" si="11"/>
        <v/>
      </c>
      <c r="V19" s="43"/>
      <c r="W19" s="3"/>
      <c r="X19" s="3"/>
      <c r="Y19" s="3"/>
      <c r="Z19" s="44">
        <v>46147</v>
      </c>
      <c r="AA19" s="45" t="s">
        <v>38</v>
      </c>
      <c r="AB19" s="45"/>
      <c r="AC19" s="45"/>
    </row>
    <row r="20" spans="1:29" ht="16.5" customHeight="1">
      <c r="A20" s="27">
        <f t="shared" si="0"/>
        <v>46035</v>
      </c>
      <c r="B20" s="28">
        <f t="shared" si="1"/>
        <v>46035</v>
      </c>
      <c r="C20" s="29" t="str">
        <f t="shared" si="2"/>
        <v/>
      </c>
      <c r="D20" s="29" t="str">
        <f t="shared" si="3"/>
        <v/>
      </c>
      <c r="E20" s="30" t="str">
        <f t="shared" si="4"/>
        <v/>
      </c>
      <c r="F20" s="72"/>
      <c r="G20" s="71"/>
      <c r="H20" s="70" t="str">
        <f t="shared" si="5"/>
        <v/>
      </c>
      <c r="I20" s="71"/>
      <c r="J20" s="31" t="str">
        <f t="shared" si="6"/>
        <v/>
      </c>
      <c r="K20" s="47">
        <f t="shared" si="12"/>
        <v>46035</v>
      </c>
      <c r="L20" s="28">
        <f t="shared" si="7"/>
        <v>46035</v>
      </c>
      <c r="M20" s="34"/>
      <c r="N20" s="35"/>
      <c r="O20" s="36"/>
      <c r="P20" s="37" t="str">
        <f t="shared" si="8"/>
        <v/>
      </c>
      <c r="Q20" s="38" t="str">
        <f t="shared" si="9"/>
        <v/>
      </c>
      <c r="R20" s="39" t="str">
        <f t="shared" si="10"/>
        <v/>
      </c>
      <c r="S20" s="40">
        <v>0</v>
      </c>
      <c r="T20" s="41" t="str">
        <f t="shared" si="13"/>
        <v/>
      </c>
      <c r="U20" s="42" t="str">
        <f t="shared" si="11"/>
        <v/>
      </c>
      <c r="V20" s="43"/>
      <c r="W20" s="3"/>
      <c r="X20" s="3"/>
      <c r="Y20" s="3"/>
      <c r="Z20" s="44">
        <v>46148</v>
      </c>
      <c r="AA20" s="3" t="s">
        <v>39</v>
      </c>
      <c r="AB20" s="45"/>
      <c r="AC20" s="45"/>
    </row>
    <row r="21" spans="1:29" ht="16.5" customHeight="1">
      <c r="A21" s="27">
        <f t="shared" si="0"/>
        <v>46036</v>
      </c>
      <c r="B21" s="28">
        <f t="shared" si="1"/>
        <v>46036</v>
      </c>
      <c r="C21" s="29" t="str">
        <f t="shared" si="2"/>
        <v/>
      </c>
      <c r="D21" s="29" t="str">
        <f t="shared" si="3"/>
        <v/>
      </c>
      <c r="E21" s="30" t="str">
        <f t="shared" si="4"/>
        <v/>
      </c>
      <c r="F21" s="72"/>
      <c r="G21" s="71"/>
      <c r="H21" s="70" t="str">
        <f t="shared" si="5"/>
        <v/>
      </c>
      <c r="I21" s="71"/>
      <c r="J21" s="31" t="str">
        <f t="shared" si="6"/>
        <v/>
      </c>
      <c r="K21" s="47">
        <f t="shared" si="12"/>
        <v>46036</v>
      </c>
      <c r="L21" s="28">
        <f t="shared" si="7"/>
        <v>46036</v>
      </c>
      <c r="M21" s="34"/>
      <c r="N21" s="35"/>
      <c r="O21" s="36"/>
      <c r="P21" s="37" t="str">
        <f t="shared" si="8"/>
        <v/>
      </c>
      <c r="Q21" s="38" t="str">
        <f t="shared" si="9"/>
        <v/>
      </c>
      <c r="R21" s="39" t="str">
        <f t="shared" si="10"/>
        <v/>
      </c>
      <c r="S21" s="40">
        <v>0</v>
      </c>
      <c r="T21" s="41" t="str">
        <f t="shared" si="13"/>
        <v/>
      </c>
      <c r="U21" s="42" t="str">
        <f t="shared" si="11"/>
        <v/>
      </c>
      <c r="V21" s="43"/>
      <c r="W21" s="3"/>
      <c r="X21" s="43"/>
      <c r="Y21" s="3"/>
      <c r="Z21" s="44">
        <v>46223</v>
      </c>
      <c r="AA21" s="3" t="s">
        <v>40</v>
      </c>
      <c r="AB21" s="45"/>
      <c r="AC21" s="45"/>
    </row>
    <row r="22" spans="1:29" ht="16.5" customHeight="1">
      <c r="A22" s="27">
        <f t="shared" si="0"/>
        <v>46037</v>
      </c>
      <c r="B22" s="28">
        <f t="shared" si="1"/>
        <v>46037</v>
      </c>
      <c r="C22" s="29" t="str">
        <f t="shared" si="2"/>
        <v/>
      </c>
      <c r="D22" s="29" t="str">
        <f t="shared" si="3"/>
        <v/>
      </c>
      <c r="E22" s="30" t="str">
        <f t="shared" si="4"/>
        <v/>
      </c>
      <c r="F22" s="72"/>
      <c r="G22" s="71"/>
      <c r="H22" s="70" t="str">
        <f t="shared" si="5"/>
        <v/>
      </c>
      <c r="I22" s="71"/>
      <c r="J22" s="31" t="str">
        <f t="shared" si="6"/>
        <v/>
      </c>
      <c r="K22" s="47">
        <f t="shared" si="12"/>
        <v>46037</v>
      </c>
      <c r="L22" s="28">
        <f t="shared" si="7"/>
        <v>46037</v>
      </c>
      <c r="M22" s="34"/>
      <c r="N22" s="35"/>
      <c r="O22" s="36"/>
      <c r="P22" s="37" t="str">
        <f t="shared" si="8"/>
        <v/>
      </c>
      <c r="Q22" s="38" t="str">
        <f t="shared" si="9"/>
        <v/>
      </c>
      <c r="R22" s="39" t="str">
        <f t="shared" si="10"/>
        <v/>
      </c>
      <c r="S22" s="40">
        <v>0</v>
      </c>
      <c r="T22" s="41" t="str">
        <f t="shared" si="13"/>
        <v/>
      </c>
      <c r="U22" s="42" t="str">
        <f t="shared" si="11"/>
        <v/>
      </c>
      <c r="V22" s="43"/>
      <c r="W22" s="3"/>
      <c r="X22" s="3"/>
      <c r="Y22" s="3"/>
      <c r="Z22" s="44">
        <v>46245</v>
      </c>
      <c r="AA22" s="3" t="s">
        <v>41</v>
      </c>
      <c r="AB22" s="45"/>
      <c r="AC22" s="45"/>
    </row>
    <row r="23" spans="1:29" ht="16.5" customHeight="1">
      <c r="A23" s="27">
        <f t="shared" si="0"/>
        <v>46038</v>
      </c>
      <c r="B23" s="28">
        <f t="shared" si="1"/>
        <v>46038</v>
      </c>
      <c r="C23" s="29" t="str">
        <f t="shared" si="2"/>
        <v/>
      </c>
      <c r="D23" s="29" t="str">
        <f t="shared" si="3"/>
        <v/>
      </c>
      <c r="E23" s="30" t="str">
        <f t="shared" si="4"/>
        <v/>
      </c>
      <c r="F23" s="72"/>
      <c r="G23" s="71"/>
      <c r="H23" s="70" t="str">
        <f t="shared" si="5"/>
        <v/>
      </c>
      <c r="I23" s="71"/>
      <c r="J23" s="31" t="str">
        <f t="shared" si="6"/>
        <v/>
      </c>
      <c r="K23" s="47">
        <f t="shared" si="12"/>
        <v>46038</v>
      </c>
      <c r="L23" s="28">
        <f t="shared" si="7"/>
        <v>46038</v>
      </c>
      <c r="M23" s="34"/>
      <c r="N23" s="35"/>
      <c r="O23" s="36"/>
      <c r="P23" s="37" t="str">
        <f t="shared" si="8"/>
        <v/>
      </c>
      <c r="Q23" s="38" t="str">
        <f t="shared" si="9"/>
        <v/>
      </c>
      <c r="R23" s="39" t="str">
        <f t="shared" si="10"/>
        <v/>
      </c>
      <c r="S23" s="40">
        <v>0</v>
      </c>
      <c r="T23" s="41" t="str">
        <f t="shared" si="13"/>
        <v/>
      </c>
      <c r="U23" s="42" t="str">
        <f t="shared" si="11"/>
        <v/>
      </c>
      <c r="V23" s="43"/>
      <c r="W23" s="3"/>
      <c r="X23" s="3"/>
      <c r="Y23" s="3"/>
      <c r="Z23" s="44">
        <v>46286</v>
      </c>
      <c r="AA23" s="3" t="s">
        <v>42</v>
      </c>
      <c r="AB23" s="45"/>
      <c r="AC23" s="45"/>
    </row>
    <row r="24" spans="1:29" ht="16.5" customHeight="1">
      <c r="A24" s="27">
        <f t="shared" si="0"/>
        <v>46039</v>
      </c>
      <c r="B24" s="28">
        <f t="shared" si="1"/>
        <v>46039</v>
      </c>
      <c r="C24" s="29" t="str">
        <f t="shared" si="2"/>
        <v/>
      </c>
      <c r="D24" s="29" t="str">
        <f t="shared" si="3"/>
        <v/>
      </c>
      <c r="E24" s="30" t="str">
        <f t="shared" si="4"/>
        <v/>
      </c>
      <c r="F24" s="72"/>
      <c r="G24" s="71"/>
      <c r="H24" s="70" t="str">
        <f t="shared" si="5"/>
        <v/>
      </c>
      <c r="I24" s="71"/>
      <c r="J24" s="31" t="str">
        <f t="shared" si="6"/>
        <v/>
      </c>
      <c r="K24" s="47">
        <f t="shared" si="12"/>
        <v>46039</v>
      </c>
      <c r="L24" s="28">
        <f t="shared" si="7"/>
        <v>46039</v>
      </c>
      <c r="M24" s="34"/>
      <c r="N24" s="35"/>
      <c r="O24" s="36"/>
      <c r="P24" s="37" t="str">
        <f t="shared" si="8"/>
        <v/>
      </c>
      <c r="Q24" s="38" t="str">
        <f t="shared" si="9"/>
        <v/>
      </c>
      <c r="R24" s="39" t="str">
        <f t="shared" si="10"/>
        <v/>
      </c>
      <c r="S24" s="40">
        <v>0</v>
      </c>
      <c r="T24" s="41" t="str">
        <f t="shared" si="13"/>
        <v/>
      </c>
      <c r="U24" s="42" t="str">
        <f t="shared" si="11"/>
        <v/>
      </c>
      <c r="V24" s="43"/>
      <c r="W24" s="3"/>
      <c r="X24" s="3"/>
      <c r="Y24" s="3"/>
      <c r="Z24" s="44">
        <v>45923</v>
      </c>
      <c r="AA24" s="3" t="s">
        <v>43</v>
      </c>
      <c r="AB24" s="45"/>
      <c r="AC24" s="45"/>
    </row>
    <row r="25" spans="1:29" ht="16.5" customHeight="1">
      <c r="A25" s="27">
        <f t="shared" si="0"/>
        <v>46040</v>
      </c>
      <c r="B25" s="28">
        <f t="shared" si="1"/>
        <v>46040</v>
      </c>
      <c r="C25" s="29" t="str">
        <f t="shared" si="2"/>
        <v/>
      </c>
      <c r="D25" s="29" t="str">
        <f t="shared" si="3"/>
        <v/>
      </c>
      <c r="E25" s="30" t="str">
        <f t="shared" si="4"/>
        <v/>
      </c>
      <c r="F25" s="72"/>
      <c r="G25" s="71"/>
      <c r="H25" s="70" t="str">
        <f t="shared" si="5"/>
        <v/>
      </c>
      <c r="I25" s="71"/>
      <c r="J25" s="31" t="str">
        <f t="shared" si="6"/>
        <v/>
      </c>
      <c r="K25" s="47">
        <f t="shared" si="12"/>
        <v>46040</v>
      </c>
      <c r="L25" s="28">
        <f t="shared" si="7"/>
        <v>46040</v>
      </c>
      <c r="M25" s="34"/>
      <c r="N25" s="35"/>
      <c r="O25" s="36"/>
      <c r="P25" s="37" t="str">
        <f t="shared" si="8"/>
        <v/>
      </c>
      <c r="Q25" s="38" t="str">
        <f t="shared" si="9"/>
        <v/>
      </c>
      <c r="R25" s="39" t="str">
        <f t="shared" si="10"/>
        <v/>
      </c>
      <c r="S25" s="40">
        <v>0</v>
      </c>
      <c r="T25" s="41" t="str">
        <f t="shared" si="13"/>
        <v/>
      </c>
      <c r="U25" s="42" t="str">
        <f t="shared" si="11"/>
        <v/>
      </c>
      <c r="V25" s="43"/>
      <c r="W25" s="3"/>
      <c r="X25" s="3"/>
      <c r="Y25" s="3"/>
      <c r="Z25" s="44">
        <v>45943</v>
      </c>
      <c r="AA25" s="3" t="s">
        <v>44</v>
      </c>
      <c r="AB25" s="45"/>
      <c r="AC25" s="45"/>
    </row>
    <row r="26" spans="1:29" ht="16.5" customHeight="1">
      <c r="A26" s="27">
        <f t="shared" si="0"/>
        <v>46041</v>
      </c>
      <c r="B26" s="28">
        <f t="shared" si="1"/>
        <v>46041</v>
      </c>
      <c r="C26" s="29" t="str">
        <f t="shared" si="2"/>
        <v/>
      </c>
      <c r="D26" s="29" t="str">
        <f t="shared" si="3"/>
        <v/>
      </c>
      <c r="E26" s="30" t="str">
        <f t="shared" si="4"/>
        <v/>
      </c>
      <c r="F26" s="72"/>
      <c r="G26" s="71"/>
      <c r="H26" s="70" t="str">
        <f t="shared" si="5"/>
        <v/>
      </c>
      <c r="I26" s="71"/>
      <c r="J26" s="31" t="str">
        <f t="shared" si="6"/>
        <v/>
      </c>
      <c r="K26" s="47">
        <f t="shared" si="12"/>
        <v>46041</v>
      </c>
      <c r="L26" s="28">
        <f t="shared" si="7"/>
        <v>46041</v>
      </c>
      <c r="M26" s="34"/>
      <c r="N26" s="35"/>
      <c r="O26" s="36"/>
      <c r="P26" s="37" t="str">
        <f t="shared" si="8"/>
        <v/>
      </c>
      <c r="Q26" s="38" t="str">
        <f t="shared" si="9"/>
        <v/>
      </c>
      <c r="R26" s="39" t="str">
        <f t="shared" si="10"/>
        <v/>
      </c>
      <c r="S26" s="40">
        <v>0</v>
      </c>
      <c r="T26" s="41" t="str">
        <f t="shared" si="13"/>
        <v/>
      </c>
      <c r="U26" s="42" t="str">
        <f t="shared" si="11"/>
        <v/>
      </c>
      <c r="V26" s="43"/>
      <c r="W26" s="3"/>
      <c r="X26" s="3"/>
      <c r="Y26" s="3"/>
      <c r="Z26" s="44">
        <v>45964</v>
      </c>
      <c r="AA26" s="3" t="s">
        <v>45</v>
      </c>
      <c r="AB26" s="45"/>
      <c r="AC26" s="45"/>
    </row>
    <row r="27" spans="1:29" ht="16.5" customHeight="1">
      <c r="A27" s="27">
        <f t="shared" si="0"/>
        <v>46042</v>
      </c>
      <c r="B27" s="28">
        <f t="shared" si="1"/>
        <v>46042</v>
      </c>
      <c r="C27" s="29" t="str">
        <f t="shared" si="2"/>
        <v/>
      </c>
      <c r="D27" s="29" t="str">
        <f t="shared" si="3"/>
        <v/>
      </c>
      <c r="E27" s="30" t="str">
        <f t="shared" si="4"/>
        <v/>
      </c>
      <c r="F27" s="72"/>
      <c r="G27" s="71"/>
      <c r="H27" s="70" t="str">
        <f t="shared" si="5"/>
        <v/>
      </c>
      <c r="I27" s="71"/>
      <c r="J27" s="31" t="str">
        <f t="shared" si="6"/>
        <v/>
      </c>
      <c r="K27" s="47">
        <f t="shared" si="12"/>
        <v>46042</v>
      </c>
      <c r="L27" s="28">
        <f t="shared" si="7"/>
        <v>46042</v>
      </c>
      <c r="M27" s="34"/>
      <c r="N27" s="35"/>
      <c r="O27" s="36"/>
      <c r="P27" s="37" t="str">
        <f t="shared" si="8"/>
        <v/>
      </c>
      <c r="Q27" s="38" t="str">
        <f t="shared" si="9"/>
        <v/>
      </c>
      <c r="R27" s="39" t="str">
        <f t="shared" si="10"/>
        <v/>
      </c>
      <c r="S27" s="40">
        <v>0</v>
      </c>
      <c r="T27" s="41" t="str">
        <f t="shared" si="13"/>
        <v/>
      </c>
      <c r="U27" s="42" t="str">
        <f t="shared" si="11"/>
        <v/>
      </c>
      <c r="V27" s="43"/>
      <c r="W27" s="3"/>
      <c r="X27" s="3"/>
      <c r="Y27" s="3"/>
      <c r="Z27" s="44">
        <v>45985</v>
      </c>
      <c r="AA27" s="3" t="s">
        <v>46</v>
      </c>
      <c r="AB27" s="45"/>
      <c r="AC27" s="45"/>
    </row>
    <row r="28" spans="1:29" ht="16.5" customHeight="1">
      <c r="A28" s="27">
        <f t="shared" si="0"/>
        <v>46043</v>
      </c>
      <c r="B28" s="28">
        <f t="shared" si="1"/>
        <v>46043</v>
      </c>
      <c r="C28" s="29" t="str">
        <f t="shared" si="2"/>
        <v/>
      </c>
      <c r="D28" s="29" t="str">
        <f t="shared" si="3"/>
        <v/>
      </c>
      <c r="E28" s="30" t="str">
        <f t="shared" si="4"/>
        <v/>
      </c>
      <c r="F28" s="72"/>
      <c r="G28" s="71"/>
      <c r="H28" s="70" t="str">
        <f t="shared" si="5"/>
        <v/>
      </c>
      <c r="I28" s="71"/>
      <c r="J28" s="31" t="str">
        <f t="shared" si="6"/>
        <v/>
      </c>
      <c r="K28" s="47">
        <f t="shared" si="12"/>
        <v>46043</v>
      </c>
      <c r="L28" s="28">
        <f t="shared" si="7"/>
        <v>46043</v>
      </c>
      <c r="M28" s="34"/>
      <c r="N28" s="35"/>
      <c r="O28" s="36"/>
      <c r="P28" s="37" t="str">
        <f t="shared" si="8"/>
        <v/>
      </c>
      <c r="Q28" s="38" t="str">
        <f t="shared" si="9"/>
        <v/>
      </c>
      <c r="R28" s="39" t="str">
        <f t="shared" si="10"/>
        <v/>
      </c>
      <c r="S28" s="40">
        <v>0</v>
      </c>
      <c r="T28" s="41" t="str">
        <f t="shared" si="13"/>
        <v/>
      </c>
      <c r="U28" s="42" t="str">
        <f t="shared" si="11"/>
        <v/>
      </c>
      <c r="V28" s="43"/>
      <c r="W28" s="3"/>
      <c r="X28" s="3"/>
      <c r="Y28" s="3"/>
      <c r="Z28" s="44">
        <v>46021</v>
      </c>
      <c r="AA28" s="3" t="s">
        <v>29</v>
      </c>
      <c r="AB28" s="45"/>
      <c r="AC28" s="45"/>
    </row>
    <row r="29" spans="1:29" ht="16.5" customHeight="1">
      <c r="A29" s="27">
        <f t="shared" si="0"/>
        <v>46044</v>
      </c>
      <c r="B29" s="28">
        <f t="shared" si="1"/>
        <v>46044</v>
      </c>
      <c r="C29" s="29" t="str">
        <f t="shared" si="2"/>
        <v/>
      </c>
      <c r="D29" s="29" t="str">
        <f t="shared" si="3"/>
        <v/>
      </c>
      <c r="E29" s="30" t="str">
        <f t="shared" si="4"/>
        <v/>
      </c>
      <c r="F29" s="72"/>
      <c r="G29" s="71"/>
      <c r="H29" s="70"/>
      <c r="I29" s="71"/>
      <c r="J29" s="31" t="str">
        <f t="shared" si="6"/>
        <v/>
      </c>
      <c r="K29" s="47">
        <f t="shared" si="12"/>
        <v>46044</v>
      </c>
      <c r="L29" s="28">
        <f t="shared" si="7"/>
        <v>46044</v>
      </c>
      <c r="M29" s="34"/>
      <c r="N29" s="35"/>
      <c r="O29" s="36"/>
      <c r="P29" s="37" t="str">
        <f t="shared" si="8"/>
        <v/>
      </c>
      <c r="Q29" s="38" t="str">
        <f t="shared" si="9"/>
        <v/>
      </c>
      <c r="R29" s="39" t="str">
        <f t="shared" si="10"/>
        <v/>
      </c>
      <c r="S29" s="40">
        <v>0</v>
      </c>
      <c r="T29" s="41" t="str">
        <f t="shared" si="13"/>
        <v/>
      </c>
      <c r="U29" s="42" t="str">
        <f t="shared" si="11"/>
        <v/>
      </c>
      <c r="V29" s="43"/>
      <c r="W29" s="3"/>
      <c r="X29" s="3"/>
      <c r="Y29" s="3"/>
      <c r="Z29" s="44">
        <v>46022</v>
      </c>
      <c r="AA29" s="45" t="s">
        <v>29</v>
      </c>
      <c r="AB29" s="45"/>
      <c r="AC29" s="45"/>
    </row>
    <row r="30" spans="1:29" ht="16.5" customHeight="1">
      <c r="A30" s="27">
        <f t="shared" si="0"/>
        <v>46045</v>
      </c>
      <c r="B30" s="28">
        <f t="shared" si="1"/>
        <v>46045</v>
      </c>
      <c r="C30" s="29" t="str">
        <f t="shared" si="2"/>
        <v/>
      </c>
      <c r="D30" s="29" t="str">
        <f t="shared" si="3"/>
        <v/>
      </c>
      <c r="E30" s="30" t="str">
        <f t="shared" si="4"/>
        <v/>
      </c>
      <c r="F30" s="72"/>
      <c r="G30" s="71"/>
      <c r="H30" s="70" t="str">
        <f t="shared" ref="H30:H38" si="14">IF(COUNTBLANK(K30)=1,"",IF(COUNTIF($Z$8:$Z$38,K30)&gt;0,VLOOKUP($K30,$Z$8:$AA$38,2,FALSE),IF(COUNTIF($AB$8:$AB$38,K30)&gt;0,VLOOKUP($K30,$AB$8:$AC$38,2,FALSE),"")))</f>
        <v/>
      </c>
      <c r="I30" s="71"/>
      <c r="J30" s="31" t="str">
        <f t="shared" si="6"/>
        <v/>
      </c>
      <c r="K30" s="47">
        <f t="shared" si="12"/>
        <v>46045</v>
      </c>
      <c r="L30" s="28">
        <f t="shared" si="7"/>
        <v>46045</v>
      </c>
      <c r="M30" s="34"/>
      <c r="N30" s="35"/>
      <c r="O30" s="36"/>
      <c r="P30" s="37" t="str">
        <f t="shared" si="8"/>
        <v/>
      </c>
      <c r="Q30" s="38" t="str">
        <f t="shared" si="9"/>
        <v/>
      </c>
      <c r="R30" s="39" t="str">
        <f t="shared" si="10"/>
        <v/>
      </c>
      <c r="S30" s="40">
        <v>0</v>
      </c>
      <c r="T30" s="41" t="str">
        <f t="shared" si="13"/>
        <v/>
      </c>
      <c r="U30" s="42" t="str">
        <f t="shared" si="11"/>
        <v/>
      </c>
      <c r="V30" s="43"/>
      <c r="W30" s="3"/>
      <c r="X30" s="3"/>
      <c r="Y30" s="3"/>
      <c r="Z30" s="44"/>
      <c r="AA30" s="45"/>
      <c r="AB30" s="45"/>
      <c r="AC30" s="45"/>
    </row>
    <row r="31" spans="1:29" ht="16.5" customHeight="1">
      <c r="A31" s="27">
        <f t="shared" si="0"/>
        <v>46046</v>
      </c>
      <c r="B31" s="28">
        <f t="shared" si="1"/>
        <v>46046</v>
      </c>
      <c r="C31" s="29" t="str">
        <f t="shared" si="2"/>
        <v/>
      </c>
      <c r="D31" s="29" t="str">
        <f t="shared" si="3"/>
        <v/>
      </c>
      <c r="E31" s="30" t="str">
        <f t="shared" si="4"/>
        <v/>
      </c>
      <c r="F31" s="72"/>
      <c r="G31" s="71"/>
      <c r="H31" s="70" t="str">
        <f t="shared" si="14"/>
        <v/>
      </c>
      <c r="I31" s="71"/>
      <c r="J31" s="31" t="str">
        <f t="shared" si="6"/>
        <v/>
      </c>
      <c r="K31" s="47">
        <f t="shared" si="12"/>
        <v>46046</v>
      </c>
      <c r="L31" s="28">
        <f t="shared" si="7"/>
        <v>46046</v>
      </c>
      <c r="M31" s="34"/>
      <c r="N31" s="35"/>
      <c r="O31" s="36"/>
      <c r="P31" s="37" t="str">
        <f t="shared" si="8"/>
        <v/>
      </c>
      <c r="Q31" s="38" t="str">
        <f t="shared" si="9"/>
        <v/>
      </c>
      <c r="R31" s="39" t="str">
        <f t="shared" si="10"/>
        <v/>
      </c>
      <c r="S31" s="40">
        <v>0</v>
      </c>
      <c r="T31" s="41" t="str">
        <f t="shared" si="13"/>
        <v/>
      </c>
      <c r="U31" s="42" t="str">
        <f t="shared" si="11"/>
        <v/>
      </c>
      <c r="V31" s="43"/>
      <c r="W31" s="3"/>
      <c r="X31" s="3"/>
      <c r="Y31" s="3"/>
      <c r="Z31" s="45"/>
      <c r="AA31" s="45"/>
      <c r="AB31" s="3"/>
      <c r="AC31" s="3"/>
    </row>
    <row r="32" spans="1:29" ht="16.5" customHeight="1">
      <c r="A32" s="27">
        <f t="shared" si="0"/>
        <v>46047</v>
      </c>
      <c r="B32" s="28">
        <f t="shared" si="1"/>
        <v>46047</v>
      </c>
      <c r="C32" s="29" t="str">
        <f t="shared" si="2"/>
        <v/>
      </c>
      <c r="D32" s="29" t="str">
        <f t="shared" si="3"/>
        <v/>
      </c>
      <c r="E32" s="30" t="str">
        <f t="shared" si="4"/>
        <v/>
      </c>
      <c r="F32" s="72"/>
      <c r="G32" s="71"/>
      <c r="H32" s="70" t="str">
        <f t="shared" si="14"/>
        <v/>
      </c>
      <c r="I32" s="71"/>
      <c r="J32" s="31" t="str">
        <f t="shared" si="6"/>
        <v/>
      </c>
      <c r="K32" s="47">
        <f t="shared" si="12"/>
        <v>46047</v>
      </c>
      <c r="L32" s="28">
        <f t="shared" si="7"/>
        <v>46047</v>
      </c>
      <c r="M32" s="34"/>
      <c r="N32" s="35"/>
      <c r="O32" s="36"/>
      <c r="P32" s="37" t="str">
        <f t="shared" si="8"/>
        <v/>
      </c>
      <c r="Q32" s="38" t="str">
        <f t="shared" si="9"/>
        <v/>
      </c>
      <c r="R32" s="39" t="str">
        <f t="shared" si="10"/>
        <v/>
      </c>
      <c r="S32" s="40">
        <v>0</v>
      </c>
      <c r="T32" s="41" t="str">
        <f t="shared" si="13"/>
        <v/>
      </c>
      <c r="U32" s="42" t="str">
        <f t="shared" si="11"/>
        <v/>
      </c>
      <c r="V32" s="43"/>
      <c r="W32" s="3"/>
      <c r="X32" s="3"/>
      <c r="Y32" s="3"/>
      <c r="Z32" s="45"/>
      <c r="AA32" s="45"/>
      <c r="AB32" s="3"/>
      <c r="AC32" s="3"/>
    </row>
    <row r="33" spans="1:29" ht="16.5" customHeight="1">
      <c r="A33" s="27">
        <f t="shared" si="0"/>
        <v>46048</v>
      </c>
      <c r="B33" s="28">
        <f t="shared" si="1"/>
        <v>46048</v>
      </c>
      <c r="C33" s="29" t="str">
        <f t="shared" si="2"/>
        <v/>
      </c>
      <c r="D33" s="29" t="str">
        <f t="shared" si="3"/>
        <v/>
      </c>
      <c r="E33" s="30" t="str">
        <f t="shared" si="4"/>
        <v/>
      </c>
      <c r="F33" s="72"/>
      <c r="G33" s="71"/>
      <c r="H33" s="70" t="str">
        <f t="shared" si="14"/>
        <v/>
      </c>
      <c r="I33" s="71"/>
      <c r="J33" s="31" t="str">
        <f t="shared" si="6"/>
        <v/>
      </c>
      <c r="K33" s="47">
        <f t="shared" si="12"/>
        <v>46048</v>
      </c>
      <c r="L33" s="28">
        <f t="shared" si="7"/>
        <v>46048</v>
      </c>
      <c r="M33" s="34"/>
      <c r="N33" s="35"/>
      <c r="O33" s="36"/>
      <c r="P33" s="37" t="str">
        <f t="shared" si="8"/>
        <v/>
      </c>
      <c r="Q33" s="38" t="str">
        <f t="shared" si="9"/>
        <v/>
      </c>
      <c r="R33" s="39" t="str">
        <f t="shared" si="10"/>
        <v/>
      </c>
      <c r="S33" s="40">
        <v>0</v>
      </c>
      <c r="T33" s="41" t="str">
        <f t="shared" si="13"/>
        <v/>
      </c>
      <c r="U33" s="42" t="str">
        <f t="shared" si="11"/>
        <v/>
      </c>
      <c r="V33" s="43"/>
      <c r="W33" s="3"/>
      <c r="X33" s="3"/>
      <c r="Y33" s="3"/>
      <c r="Z33" s="45"/>
      <c r="AA33" s="45"/>
      <c r="AB33" s="3"/>
      <c r="AC33" s="3"/>
    </row>
    <row r="34" spans="1:29" ht="16.5" customHeight="1">
      <c r="A34" s="27">
        <f t="shared" si="0"/>
        <v>46049</v>
      </c>
      <c r="B34" s="28">
        <f t="shared" si="1"/>
        <v>46049</v>
      </c>
      <c r="C34" s="29" t="str">
        <f t="shared" si="2"/>
        <v/>
      </c>
      <c r="D34" s="29" t="str">
        <f t="shared" si="3"/>
        <v/>
      </c>
      <c r="E34" s="30" t="str">
        <f t="shared" si="4"/>
        <v/>
      </c>
      <c r="F34" s="72"/>
      <c r="G34" s="71"/>
      <c r="H34" s="70" t="str">
        <f t="shared" si="14"/>
        <v/>
      </c>
      <c r="I34" s="71"/>
      <c r="J34" s="31" t="str">
        <f t="shared" si="6"/>
        <v/>
      </c>
      <c r="K34" s="47">
        <f t="shared" si="12"/>
        <v>46049</v>
      </c>
      <c r="L34" s="28">
        <f t="shared" si="7"/>
        <v>46049</v>
      </c>
      <c r="M34" s="34"/>
      <c r="N34" s="35"/>
      <c r="O34" s="36"/>
      <c r="P34" s="37" t="str">
        <f t="shared" si="8"/>
        <v/>
      </c>
      <c r="Q34" s="38" t="str">
        <f t="shared" si="9"/>
        <v/>
      </c>
      <c r="R34" s="39" t="str">
        <f t="shared" si="10"/>
        <v/>
      </c>
      <c r="S34" s="40">
        <v>0</v>
      </c>
      <c r="T34" s="41" t="str">
        <f t="shared" si="13"/>
        <v/>
      </c>
      <c r="U34" s="42" t="str">
        <f t="shared" si="11"/>
        <v/>
      </c>
      <c r="V34" s="43"/>
      <c r="W34" s="3"/>
      <c r="X34" s="3"/>
      <c r="Y34" s="3"/>
      <c r="Z34" s="45"/>
      <c r="AA34" s="3"/>
      <c r="AB34" s="3"/>
      <c r="AC34" s="3"/>
    </row>
    <row r="35" spans="1:29" ht="16.5" customHeight="1">
      <c r="A35" s="27">
        <f t="shared" si="0"/>
        <v>46050</v>
      </c>
      <c r="B35" s="28">
        <f t="shared" si="1"/>
        <v>46050</v>
      </c>
      <c r="C35" s="29" t="str">
        <f t="shared" si="2"/>
        <v/>
      </c>
      <c r="D35" s="29" t="str">
        <f t="shared" si="3"/>
        <v/>
      </c>
      <c r="E35" s="30" t="str">
        <f t="shared" si="4"/>
        <v/>
      </c>
      <c r="F35" s="72"/>
      <c r="G35" s="71"/>
      <c r="H35" s="70" t="str">
        <f t="shared" si="14"/>
        <v/>
      </c>
      <c r="I35" s="71"/>
      <c r="J35" s="31" t="str">
        <f t="shared" si="6"/>
        <v/>
      </c>
      <c r="K35" s="47">
        <f t="shared" si="12"/>
        <v>46050</v>
      </c>
      <c r="L35" s="28">
        <f t="shared" si="7"/>
        <v>46050</v>
      </c>
      <c r="M35" s="34"/>
      <c r="N35" s="35"/>
      <c r="O35" s="36"/>
      <c r="P35" s="37" t="str">
        <f t="shared" si="8"/>
        <v/>
      </c>
      <c r="Q35" s="38" t="str">
        <f t="shared" si="9"/>
        <v/>
      </c>
      <c r="R35" s="39" t="str">
        <f t="shared" si="10"/>
        <v/>
      </c>
      <c r="S35" s="40">
        <v>0</v>
      </c>
      <c r="T35" s="41" t="str">
        <f t="shared" si="13"/>
        <v/>
      </c>
      <c r="U35" s="42" t="str">
        <f t="shared" si="11"/>
        <v/>
      </c>
      <c r="V35" s="43"/>
      <c r="W35" s="3"/>
      <c r="X35" s="3"/>
      <c r="Y35" s="3"/>
      <c r="Z35" s="45"/>
      <c r="AA35" s="3"/>
      <c r="AB35" s="3"/>
      <c r="AC35" s="3"/>
    </row>
    <row r="36" spans="1:29" ht="16.5" customHeight="1">
      <c r="A36" s="27">
        <f t="shared" si="0"/>
        <v>46051</v>
      </c>
      <c r="B36" s="28">
        <f t="shared" si="1"/>
        <v>46051</v>
      </c>
      <c r="C36" s="29" t="str">
        <f t="shared" si="2"/>
        <v/>
      </c>
      <c r="D36" s="29" t="str">
        <f t="shared" si="3"/>
        <v/>
      </c>
      <c r="E36" s="30" t="str">
        <f t="shared" si="4"/>
        <v/>
      </c>
      <c r="F36" s="72"/>
      <c r="G36" s="71"/>
      <c r="H36" s="70" t="str">
        <f t="shared" si="14"/>
        <v/>
      </c>
      <c r="I36" s="71"/>
      <c r="J36" s="31" t="str">
        <f t="shared" si="6"/>
        <v/>
      </c>
      <c r="K36" s="47">
        <f t="shared" si="12"/>
        <v>46051</v>
      </c>
      <c r="L36" s="28">
        <f t="shared" si="7"/>
        <v>46051</v>
      </c>
      <c r="M36" s="34"/>
      <c r="N36" s="35"/>
      <c r="O36" s="36"/>
      <c r="P36" s="37" t="str">
        <f t="shared" si="8"/>
        <v/>
      </c>
      <c r="Q36" s="38" t="str">
        <f t="shared" si="9"/>
        <v/>
      </c>
      <c r="R36" s="39" t="str">
        <f t="shared" si="10"/>
        <v/>
      </c>
      <c r="S36" s="40">
        <v>0</v>
      </c>
      <c r="T36" s="41" t="str">
        <f t="shared" si="13"/>
        <v/>
      </c>
      <c r="U36" s="42" t="str">
        <f t="shared" si="11"/>
        <v/>
      </c>
      <c r="V36" s="43"/>
      <c r="W36" s="3"/>
      <c r="X36" s="3"/>
      <c r="Y36" s="3"/>
      <c r="Z36" s="48"/>
      <c r="AA36" s="3"/>
      <c r="AB36" s="3"/>
      <c r="AC36" s="3"/>
    </row>
    <row r="37" spans="1:29" ht="16.5" customHeight="1">
      <c r="A37" s="27">
        <f t="shared" si="0"/>
        <v>46052</v>
      </c>
      <c r="B37" s="28">
        <f t="shared" si="1"/>
        <v>46052</v>
      </c>
      <c r="C37" s="29" t="str">
        <f t="shared" si="2"/>
        <v/>
      </c>
      <c r="D37" s="29" t="str">
        <f t="shared" si="3"/>
        <v/>
      </c>
      <c r="E37" s="30" t="str">
        <f t="shared" si="4"/>
        <v/>
      </c>
      <c r="F37" s="72"/>
      <c r="G37" s="71"/>
      <c r="H37" s="70" t="str">
        <f t="shared" si="14"/>
        <v/>
      </c>
      <c r="I37" s="71"/>
      <c r="J37" s="31" t="str">
        <f t="shared" si="6"/>
        <v/>
      </c>
      <c r="K37" s="47">
        <f t="shared" si="12"/>
        <v>46052</v>
      </c>
      <c r="L37" s="28">
        <f t="shared" si="7"/>
        <v>46052</v>
      </c>
      <c r="M37" s="34"/>
      <c r="N37" s="35"/>
      <c r="O37" s="36"/>
      <c r="P37" s="37" t="str">
        <f t="shared" si="8"/>
        <v/>
      </c>
      <c r="Q37" s="38" t="str">
        <f t="shared" si="9"/>
        <v/>
      </c>
      <c r="R37" s="39" t="str">
        <f t="shared" si="10"/>
        <v/>
      </c>
      <c r="S37" s="40">
        <v>0</v>
      </c>
      <c r="T37" s="41" t="str">
        <f t="shared" si="13"/>
        <v/>
      </c>
      <c r="U37" s="42" t="str">
        <f t="shared" si="11"/>
        <v/>
      </c>
      <c r="V37" s="43"/>
      <c r="W37" s="3"/>
      <c r="X37" s="3"/>
      <c r="Y37" s="3"/>
      <c r="Z37" s="48"/>
      <c r="AA37" s="3"/>
      <c r="AB37" s="3"/>
      <c r="AC37" s="3"/>
    </row>
    <row r="38" spans="1:29" ht="16.5" customHeight="1">
      <c r="A38" s="27">
        <f t="shared" si="0"/>
        <v>46053</v>
      </c>
      <c r="B38" s="28">
        <f t="shared" si="1"/>
        <v>46053</v>
      </c>
      <c r="C38" s="29" t="str">
        <f t="shared" si="2"/>
        <v/>
      </c>
      <c r="D38" s="29" t="str">
        <f t="shared" si="3"/>
        <v/>
      </c>
      <c r="E38" s="30" t="str">
        <f t="shared" si="4"/>
        <v/>
      </c>
      <c r="F38" s="72"/>
      <c r="G38" s="71"/>
      <c r="H38" s="70" t="str">
        <f t="shared" si="14"/>
        <v/>
      </c>
      <c r="I38" s="71"/>
      <c r="J38" s="31" t="str">
        <f t="shared" si="6"/>
        <v/>
      </c>
      <c r="K38" s="47">
        <f t="shared" si="12"/>
        <v>46053</v>
      </c>
      <c r="L38" s="28">
        <f t="shared" si="7"/>
        <v>46053</v>
      </c>
      <c r="M38" s="34"/>
      <c r="N38" s="35"/>
      <c r="O38" s="36"/>
      <c r="P38" s="37" t="str">
        <f t="shared" si="8"/>
        <v/>
      </c>
      <c r="Q38" s="38" t="str">
        <f t="shared" si="9"/>
        <v/>
      </c>
      <c r="R38" s="39" t="str">
        <f t="shared" si="10"/>
        <v/>
      </c>
      <c r="S38" s="40">
        <v>0</v>
      </c>
      <c r="T38" s="41" t="str">
        <f t="shared" si="13"/>
        <v/>
      </c>
      <c r="U38" s="42" t="str">
        <f t="shared" si="11"/>
        <v/>
      </c>
      <c r="V38" s="43"/>
      <c r="W38" s="3"/>
      <c r="X38" s="3"/>
      <c r="Y38" s="3"/>
      <c r="Z38" s="48"/>
      <c r="AA38" s="3"/>
      <c r="AB38" s="3"/>
      <c r="AC38" s="3"/>
    </row>
    <row r="39" spans="1:29" ht="13.5" customHeight="1">
      <c r="A39" s="10"/>
      <c r="B39" s="3"/>
      <c r="C39" s="3" t="str">
        <f>IF(M39="","",M39)</f>
        <v/>
      </c>
      <c r="D39" s="3"/>
      <c r="E39" s="3"/>
      <c r="F39" s="3"/>
      <c r="G39" s="3"/>
      <c r="H39" s="3"/>
      <c r="I39" s="3"/>
      <c r="J39" s="3"/>
      <c r="K39" s="49"/>
      <c r="L39" s="3"/>
      <c r="M39" s="3"/>
      <c r="N39" s="3"/>
      <c r="O39" s="3"/>
      <c r="P39" s="37"/>
      <c r="Q39" s="38"/>
      <c r="R39" s="39">
        <f>SUM(R8:R38)</f>
        <v>0</v>
      </c>
      <c r="S39" s="3"/>
      <c r="T39" s="3"/>
      <c r="U39" s="50">
        <f>SUM(U8:U38)</f>
        <v>0</v>
      </c>
      <c r="V39" s="43"/>
      <c r="W39" s="3"/>
      <c r="X39" s="3"/>
      <c r="Y39" s="3"/>
      <c r="Z39" s="48"/>
      <c r="AA39" s="3"/>
      <c r="AB39" s="3"/>
      <c r="AC39" s="3"/>
    </row>
    <row r="40" spans="1:29" ht="19.5" customHeight="1">
      <c r="A40" s="10"/>
      <c r="B40" s="51"/>
      <c r="C40" s="74" t="s">
        <v>47</v>
      </c>
      <c r="D40" s="71"/>
      <c r="E40" s="52">
        <f>31-COUNTBLANK(M8:M38)</f>
        <v>0</v>
      </c>
      <c r="F40" s="53"/>
      <c r="G40" s="82"/>
      <c r="H40" s="83"/>
      <c r="I40" s="83"/>
      <c r="J40" s="3"/>
      <c r="K40" s="3"/>
      <c r="L40" s="54"/>
      <c r="M40" s="3"/>
      <c r="N40" s="3"/>
      <c r="O40" s="3"/>
      <c r="P40" s="54"/>
      <c r="Q40" s="54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3.5" customHeight="1">
      <c r="A41" s="3"/>
      <c r="B41" s="51"/>
      <c r="C41" s="74" t="s">
        <v>48</v>
      </c>
      <c r="D41" s="71"/>
      <c r="E41" s="55">
        <f>R39</f>
        <v>0</v>
      </c>
      <c r="F41" s="53"/>
      <c r="G41" s="9"/>
      <c r="H41" s="56"/>
      <c r="I41" s="56"/>
      <c r="J41" s="3"/>
      <c r="K41" s="9"/>
      <c r="L41" s="56"/>
      <c r="M41" s="75" t="s">
        <v>49</v>
      </c>
      <c r="N41" s="76"/>
      <c r="O41" s="71"/>
      <c r="P41" s="56"/>
      <c r="Q41" s="56"/>
      <c r="R41" s="3"/>
      <c r="S41" s="57" t="s">
        <v>49</v>
      </c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9.75" customHeight="1">
      <c r="A42" s="3"/>
      <c r="B42" s="58"/>
      <c r="C42" s="59"/>
      <c r="D42" s="9"/>
      <c r="E42" s="60"/>
      <c r="F42" s="53"/>
      <c r="G42" s="9"/>
      <c r="H42" s="56"/>
      <c r="I42" s="56"/>
      <c r="J42" s="3"/>
      <c r="K42" s="61"/>
      <c r="L42" s="62"/>
      <c r="M42" s="62"/>
      <c r="N42" s="62"/>
      <c r="O42" s="62"/>
      <c r="P42" s="56"/>
      <c r="Q42" s="56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3.5" customHeight="1">
      <c r="A43" s="3"/>
      <c r="B43" s="58"/>
      <c r="C43" s="59"/>
      <c r="D43" s="9"/>
      <c r="E43" s="60"/>
      <c r="F43" s="53" t="s">
        <v>50</v>
      </c>
      <c r="G43" s="82" t="str">
        <f>IF(K43="","",K43)</f>
        <v>株式会社ニーズウェル</v>
      </c>
      <c r="H43" s="83"/>
      <c r="I43" s="83"/>
      <c r="J43" s="3"/>
      <c r="K43" s="79" t="s">
        <v>51</v>
      </c>
      <c r="L43" s="80"/>
      <c r="M43" s="80"/>
      <c r="N43" s="80"/>
      <c r="O43" s="78"/>
      <c r="P43" s="63"/>
      <c r="Q43" s="54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9.75" customHeight="1">
      <c r="A44" s="3"/>
      <c r="B44" s="58"/>
      <c r="C44" s="59"/>
      <c r="D44" s="9"/>
      <c r="E44" s="60"/>
      <c r="F44" s="53"/>
      <c r="G44" s="9"/>
      <c r="H44" s="56"/>
      <c r="I44" s="56"/>
      <c r="J44" s="3"/>
      <c r="K44" s="64"/>
      <c r="L44" s="65"/>
      <c r="M44" s="65"/>
      <c r="N44" s="65"/>
      <c r="O44" s="65"/>
      <c r="P44" s="56"/>
      <c r="Q44" s="56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3.5" hidden="1" customHeight="1">
      <c r="A45" s="3"/>
      <c r="B45" s="58"/>
      <c r="C45" s="59"/>
      <c r="D45" s="9"/>
      <c r="E45" s="60"/>
      <c r="F45" s="53" t="s">
        <v>52</v>
      </c>
      <c r="G45" s="82" t="str">
        <f>IF(K45="","",K45)</f>
        <v/>
      </c>
      <c r="H45" s="83"/>
      <c r="I45" s="83"/>
      <c r="J45" s="3"/>
      <c r="K45" s="79"/>
      <c r="L45" s="80"/>
      <c r="M45" s="80"/>
      <c r="N45" s="80"/>
      <c r="O45" s="78"/>
      <c r="P45" s="63" t="s">
        <v>53</v>
      </c>
      <c r="Q45" s="54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9.75" customHeight="1">
      <c r="A46" s="3"/>
      <c r="B46" s="58"/>
      <c r="C46" s="59"/>
      <c r="D46" s="9"/>
      <c r="E46" s="60"/>
      <c r="F46" s="53"/>
      <c r="G46" s="9"/>
      <c r="H46" s="56"/>
      <c r="I46" s="56"/>
      <c r="J46" s="3"/>
      <c r="K46" s="64"/>
      <c r="L46" s="65"/>
      <c r="M46" s="65"/>
      <c r="N46" s="66"/>
      <c r="O46" s="66"/>
      <c r="P46" s="56"/>
      <c r="Q46" s="56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3.5" customHeight="1">
      <c r="A47" s="3"/>
      <c r="B47" s="58"/>
      <c r="C47" s="59"/>
      <c r="D47" s="9"/>
      <c r="E47" s="60"/>
      <c r="F47" s="53" t="s">
        <v>54</v>
      </c>
      <c r="G47" s="82" t="str">
        <f>K47&amp;" "&amp;L47</f>
        <v>下川 泰裕</v>
      </c>
      <c r="H47" s="83"/>
      <c r="I47" s="56" t="s">
        <v>55</v>
      </c>
      <c r="J47" s="3"/>
      <c r="K47" s="67" t="s">
        <v>56</v>
      </c>
      <c r="L47" s="85" t="s">
        <v>57</v>
      </c>
      <c r="M47" s="86"/>
      <c r="N47" s="6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9.75" customHeight="1">
      <c r="A48" s="3"/>
      <c r="B48" s="58"/>
      <c r="C48" s="59"/>
      <c r="D48" s="9"/>
      <c r="E48" s="60"/>
      <c r="F48" s="53"/>
      <c r="G48" s="9"/>
      <c r="H48" s="56"/>
      <c r="I48" s="56"/>
      <c r="J48" s="3"/>
      <c r="K48" s="68"/>
      <c r="L48" s="66"/>
      <c r="M48" s="66"/>
      <c r="N48" s="56"/>
      <c r="O48" s="56"/>
      <c r="P48" s="56"/>
      <c r="Q48" s="56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4.5" customHeight="1">
      <c r="A49" s="3"/>
      <c r="B49" s="58"/>
      <c r="C49" s="59"/>
      <c r="D49" s="9"/>
      <c r="E49" s="60"/>
      <c r="F49" s="53"/>
      <c r="G49" s="9"/>
      <c r="H49" s="56"/>
      <c r="I49" s="56"/>
      <c r="J49" s="3"/>
      <c r="K49" s="9"/>
      <c r="L49" s="56"/>
      <c r="M49" s="56"/>
      <c r="N49" s="56"/>
      <c r="O49" s="56"/>
      <c r="P49" s="56"/>
      <c r="Q49" s="56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3.5" customHeight="1">
      <c r="A50" s="90" t="s">
        <v>58</v>
      </c>
      <c r="B50" s="76"/>
      <c r="C50" s="76"/>
      <c r="D50" s="76"/>
      <c r="E50" s="71"/>
      <c r="F50" s="75" t="s">
        <v>49</v>
      </c>
      <c r="G50" s="71"/>
      <c r="H50" s="75" t="s">
        <v>49</v>
      </c>
      <c r="I50" s="71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3.5" customHeight="1">
      <c r="A52" s="10"/>
      <c r="B52" s="3"/>
      <c r="C52" s="3"/>
      <c r="D52" s="3"/>
      <c r="E52" s="3"/>
      <c r="F52" s="3"/>
      <c r="G52" s="3"/>
      <c r="H52" s="3"/>
      <c r="I52" s="3"/>
      <c r="J52" s="3"/>
      <c r="K52" s="10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3.5" customHeight="1">
      <c r="A53" s="10"/>
      <c r="B53" s="3"/>
      <c r="C53" s="3"/>
      <c r="D53" s="3"/>
      <c r="E53" s="3"/>
      <c r="F53" s="3"/>
      <c r="G53" s="3"/>
      <c r="H53" s="3"/>
      <c r="I53" s="3"/>
      <c r="J53" s="3"/>
      <c r="K53" s="10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3.5" customHeight="1">
      <c r="A54" s="10"/>
      <c r="B54" s="3"/>
      <c r="C54" s="3"/>
      <c r="D54" s="3"/>
      <c r="E54" s="3"/>
      <c r="F54" s="3"/>
      <c r="G54" s="3"/>
      <c r="H54" s="3"/>
      <c r="I54" s="3"/>
      <c r="J54" s="3"/>
      <c r="K54" s="10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3.5" customHeight="1">
      <c r="A55" s="10"/>
      <c r="B55" s="3"/>
      <c r="C55" s="3"/>
      <c r="D55" s="3"/>
      <c r="E55" s="3"/>
      <c r="F55" s="3"/>
      <c r="G55" s="3"/>
      <c r="H55" s="3"/>
      <c r="I55" s="3"/>
      <c r="J55" s="3"/>
      <c r="K55" s="10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3.5" customHeight="1">
      <c r="A56" s="10"/>
      <c r="B56" s="3"/>
      <c r="C56" s="3"/>
      <c r="D56" s="3"/>
      <c r="E56" s="3"/>
      <c r="F56" s="3"/>
      <c r="G56" s="3"/>
      <c r="H56" s="3"/>
      <c r="I56" s="3"/>
      <c r="J56" s="3"/>
      <c r="K56" s="10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3.5" customHeight="1">
      <c r="A57" s="10"/>
      <c r="B57" s="3"/>
      <c r="C57" s="3"/>
      <c r="D57" s="3"/>
      <c r="E57" s="3"/>
      <c r="F57" s="3"/>
      <c r="G57" s="3"/>
      <c r="H57" s="3"/>
      <c r="I57" s="3"/>
      <c r="J57" s="3"/>
      <c r="K57" s="10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3.5" customHeight="1">
      <c r="A58" s="10"/>
      <c r="B58" s="3"/>
      <c r="C58" s="3"/>
      <c r="D58" s="3"/>
      <c r="E58" s="3"/>
      <c r="F58" s="3"/>
      <c r="G58" s="3"/>
      <c r="H58" s="3"/>
      <c r="I58" s="3"/>
      <c r="J58" s="3"/>
      <c r="K58" s="10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3.5" customHeight="1">
      <c r="A59" s="10"/>
      <c r="B59" s="3"/>
      <c r="C59" s="3"/>
      <c r="D59" s="3"/>
      <c r="E59" s="3"/>
      <c r="F59" s="3"/>
      <c r="G59" s="3"/>
      <c r="H59" s="3"/>
      <c r="I59" s="3"/>
      <c r="J59" s="3"/>
      <c r="K59" s="10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3.5" customHeight="1">
      <c r="A60" s="10"/>
      <c r="B60" s="3"/>
      <c r="C60" s="3"/>
      <c r="D60" s="3"/>
      <c r="E60" s="3"/>
      <c r="F60" s="3"/>
      <c r="G60" s="3"/>
      <c r="H60" s="3"/>
      <c r="I60" s="3"/>
      <c r="J60" s="3"/>
      <c r="K60" s="10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3.5" customHeight="1">
      <c r="A61" s="10"/>
      <c r="B61" s="3"/>
      <c r="C61" s="3"/>
      <c r="D61" s="3"/>
      <c r="E61" s="3"/>
      <c r="F61" s="3"/>
      <c r="G61" s="3"/>
      <c r="H61" s="3"/>
      <c r="I61" s="3"/>
      <c r="J61" s="3"/>
      <c r="K61" s="10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3.5" customHeight="1">
      <c r="A62" s="10"/>
      <c r="B62" s="3"/>
      <c r="C62" s="3"/>
      <c r="D62" s="3"/>
      <c r="E62" s="3"/>
      <c r="F62" s="3"/>
      <c r="G62" s="3"/>
      <c r="H62" s="3"/>
      <c r="I62" s="3"/>
      <c r="J62" s="3"/>
      <c r="K62" s="10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3.5" customHeight="1">
      <c r="A63" s="10"/>
      <c r="B63" s="3"/>
      <c r="C63" s="3"/>
      <c r="D63" s="3"/>
      <c r="E63" s="3"/>
      <c r="F63" s="3"/>
      <c r="G63" s="3"/>
      <c r="H63" s="3"/>
      <c r="I63" s="3"/>
      <c r="J63" s="3"/>
      <c r="K63" s="10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3.5" customHeight="1">
      <c r="A64" s="10"/>
      <c r="B64" s="3"/>
      <c r="C64" s="3"/>
      <c r="D64" s="3"/>
      <c r="E64" s="3"/>
      <c r="F64" s="3"/>
      <c r="G64" s="3"/>
      <c r="H64" s="3"/>
      <c r="I64" s="3"/>
      <c r="J64" s="3"/>
      <c r="K64" s="10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3.5" customHeight="1">
      <c r="A65" s="10"/>
      <c r="B65" s="3"/>
      <c r="C65" s="3"/>
      <c r="D65" s="3"/>
      <c r="E65" s="3"/>
      <c r="F65" s="3"/>
      <c r="G65" s="3"/>
      <c r="H65" s="3"/>
      <c r="I65" s="3"/>
      <c r="J65" s="3"/>
      <c r="K65" s="10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3.5" customHeight="1">
      <c r="A66" s="10"/>
      <c r="B66" s="3"/>
      <c r="C66" s="3"/>
      <c r="D66" s="3"/>
      <c r="E66" s="3"/>
      <c r="F66" s="3"/>
      <c r="G66" s="3"/>
      <c r="H66" s="3"/>
      <c r="I66" s="3"/>
      <c r="J66" s="3"/>
      <c r="K66" s="10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3.5" customHeight="1">
      <c r="A67" s="10"/>
      <c r="B67" s="3"/>
      <c r="C67" s="3"/>
      <c r="D67" s="3"/>
      <c r="E67" s="3"/>
      <c r="F67" s="3"/>
      <c r="G67" s="3"/>
      <c r="H67" s="3"/>
      <c r="I67" s="3"/>
      <c r="J67" s="3"/>
      <c r="K67" s="10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3.5" customHeight="1">
      <c r="A68" s="10"/>
      <c r="B68" s="3"/>
      <c r="C68" s="3"/>
      <c r="D68" s="3"/>
      <c r="E68" s="3"/>
      <c r="F68" s="3"/>
      <c r="G68" s="3"/>
      <c r="H68" s="3"/>
      <c r="I68" s="3"/>
      <c r="J68" s="3"/>
      <c r="K68" s="10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3.5" customHeight="1">
      <c r="A69" s="10"/>
      <c r="B69" s="3"/>
      <c r="C69" s="3"/>
      <c r="D69" s="3"/>
      <c r="E69" s="3"/>
      <c r="F69" s="3"/>
      <c r="G69" s="3"/>
      <c r="H69" s="3"/>
      <c r="I69" s="3"/>
      <c r="J69" s="3"/>
      <c r="K69" s="10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3.5" customHeight="1">
      <c r="A70" s="10"/>
      <c r="B70" s="3"/>
      <c r="C70" s="3"/>
      <c r="D70" s="3"/>
      <c r="E70" s="3"/>
      <c r="F70" s="3"/>
      <c r="G70" s="3"/>
      <c r="H70" s="3"/>
      <c r="I70" s="3"/>
      <c r="J70" s="3"/>
      <c r="K70" s="10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3.5" customHeight="1">
      <c r="A71" s="10"/>
      <c r="B71" s="3"/>
      <c r="C71" s="3"/>
      <c r="D71" s="3"/>
      <c r="E71" s="3"/>
      <c r="F71" s="3"/>
      <c r="G71" s="3"/>
      <c r="H71" s="3"/>
      <c r="I71" s="3"/>
      <c r="J71" s="3"/>
      <c r="K71" s="10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3.5" customHeight="1">
      <c r="A72" s="10"/>
      <c r="B72" s="3"/>
      <c r="C72" s="3"/>
      <c r="D72" s="3"/>
      <c r="E72" s="3"/>
      <c r="F72" s="3"/>
      <c r="G72" s="3"/>
      <c r="H72" s="3"/>
      <c r="I72" s="3"/>
      <c r="J72" s="3"/>
      <c r="K72" s="10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3.5" customHeight="1">
      <c r="A73" s="10"/>
      <c r="B73" s="3"/>
      <c r="C73" s="3"/>
      <c r="D73" s="3"/>
      <c r="E73" s="3"/>
      <c r="F73" s="3"/>
      <c r="G73" s="3"/>
      <c r="H73" s="3"/>
      <c r="I73" s="3"/>
      <c r="J73" s="3"/>
      <c r="K73" s="10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3.5" customHeight="1">
      <c r="A74" s="10"/>
      <c r="B74" s="3"/>
      <c r="C74" s="3"/>
      <c r="D74" s="3"/>
      <c r="E74" s="3"/>
      <c r="F74" s="3"/>
      <c r="G74" s="3"/>
      <c r="H74" s="3"/>
      <c r="I74" s="3"/>
      <c r="J74" s="3"/>
      <c r="K74" s="10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3.5" customHeight="1">
      <c r="A75" s="10"/>
      <c r="B75" s="3"/>
      <c r="C75" s="3"/>
      <c r="D75" s="3"/>
      <c r="E75" s="3"/>
      <c r="F75" s="3"/>
      <c r="G75" s="3"/>
      <c r="H75" s="3"/>
      <c r="I75" s="3"/>
      <c r="J75" s="3"/>
      <c r="K75" s="10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3.5" customHeight="1">
      <c r="A76" s="10"/>
      <c r="B76" s="3"/>
      <c r="C76" s="3"/>
      <c r="D76" s="3"/>
      <c r="E76" s="3"/>
      <c r="F76" s="3"/>
      <c r="G76" s="3"/>
      <c r="H76" s="3"/>
      <c r="I76" s="3"/>
      <c r="J76" s="3"/>
      <c r="K76" s="10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3.5" customHeight="1">
      <c r="A77" s="10"/>
      <c r="B77" s="3"/>
      <c r="C77" s="3"/>
      <c r="D77" s="3"/>
      <c r="E77" s="3"/>
      <c r="F77" s="3"/>
      <c r="G77" s="3"/>
      <c r="H77" s="3"/>
      <c r="I77" s="3"/>
      <c r="J77" s="3"/>
      <c r="K77" s="10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3.5" customHeight="1">
      <c r="A78" s="10"/>
      <c r="B78" s="3"/>
      <c r="C78" s="3"/>
      <c r="D78" s="3"/>
      <c r="E78" s="3"/>
      <c r="F78" s="3"/>
      <c r="G78" s="3"/>
      <c r="H78" s="3"/>
      <c r="I78" s="3"/>
      <c r="J78" s="3"/>
      <c r="K78" s="10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3.5" customHeight="1">
      <c r="A79" s="10"/>
      <c r="B79" s="3"/>
      <c r="C79" s="3"/>
      <c r="D79" s="3"/>
      <c r="E79" s="3"/>
      <c r="F79" s="3"/>
      <c r="G79" s="3"/>
      <c r="H79" s="3"/>
      <c r="I79" s="3"/>
      <c r="J79" s="3"/>
      <c r="K79" s="10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3.5" customHeight="1">
      <c r="A80" s="10"/>
      <c r="B80" s="3"/>
      <c r="C80" s="3"/>
      <c r="D80" s="3"/>
      <c r="E80" s="3"/>
      <c r="F80" s="3"/>
      <c r="G80" s="3"/>
      <c r="H80" s="3"/>
      <c r="I80" s="3"/>
      <c r="J80" s="3"/>
      <c r="K80" s="10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3.5" customHeight="1">
      <c r="A81" s="10"/>
      <c r="B81" s="3"/>
      <c r="C81" s="3"/>
      <c r="D81" s="3"/>
      <c r="E81" s="3"/>
      <c r="F81" s="3"/>
      <c r="G81" s="3"/>
      <c r="H81" s="3"/>
      <c r="I81" s="3"/>
      <c r="J81" s="3"/>
      <c r="K81" s="10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3.5" customHeight="1">
      <c r="A82" s="10"/>
      <c r="B82" s="3"/>
      <c r="C82" s="3"/>
      <c r="D82" s="3"/>
      <c r="E82" s="3"/>
      <c r="F82" s="3"/>
      <c r="G82" s="3"/>
      <c r="H82" s="3"/>
      <c r="I82" s="3"/>
      <c r="J82" s="3"/>
      <c r="K82" s="10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3.5" customHeight="1">
      <c r="A83" s="10"/>
      <c r="B83" s="3"/>
      <c r="C83" s="3"/>
      <c r="D83" s="3"/>
      <c r="E83" s="3"/>
      <c r="F83" s="3"/>
      <c r="G83" s="3"/>
      <c r="H83" s="3"/>
      <c r="I83" s="3"/>
      <c r="J83" s="3"/>
      <c r="K83" s="10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3.5" customHeight="1">
      <c r="A84" s="10"/>
      <c r="B84" s="3"/>
      <c r="C84" s="3"/>
      <c r="D84" s="3"/>
      <c r="E84" s="3"/>
      <c r="F84" s="3"/>
      <c r="G84" s="3"/>
      <c r="H84" s="3"/>
      <c r="I84" s="3"/>
      <c r="J84" s="3"/>
      <c r="K84" s="10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3.5" customHeight="1">
      <c r="A85" s="10"/>
      <c r="B85" s="3"/>
      <c r="C85" s="3"/>
      <c r="D85" s="3"/>
      <c r="E85" s="3"/>
      <c r="F85" s="3"/>
      <c r="G85" s="3"/>
      <c r="H85" s="3"/>
      <c r="I85" s="3"/>
      <c r="J85" s="3"/>
      <c r="K85" s="10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3.5" customHeight="1">
      <c r="A86" s="10"/>
      <c r="B86" s="3"/>
      <c r="C86" s="3"/>
      <c r="D86" s="3"/>
      <c r="E86" s="3"/>
      <c r="F86" s="3"/>
      <c r="G86" s="3"/>
      <c r="H86" s="3"/>
      <c r="I86" s="3"/>
      <c r="J86" s="3"/>
      <c r="K86" s="10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.5" customHeight="1">
      <c r="A87" s="10"/>
      <c r="B87" s="3"/>
      <c r="C87" s="3"/>
      <c r="D87" s="3"/>
      <c r="E87" s="3"/>
      <c r="F87" s="3"/>
      <c r="G87" s="3"/>
      <c r="H87" s="3"/>
      <c r="I87" s="3"/>
      <c r="J87" s="3"/>
      <c r="K87" s="10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.5" customHeight="1">
      <c r="A88" s="10"/>
      <c r="B88" s="3"/>
      <c r="C88" s="3"/>
      <c r="D88" s="3"/>
      <c r="E88" s="3"/>
      <c r="F88" s="3"/>
      <c r="G88" s="3"/>
      <c r="H88" s="3"/>
      <c r="I88" s="3"/>
      <c r="J88" s="3"/>
      <c r="K88" s="10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.5" customHeight="1">
      <c r="A89" s="10"/>
      <c r="B89" s="3"/>
      <c r="C89" s="3"/>
      <c r="D89" s="3"/>
      <c r="E89" s="3"/>
      <c r="F89" s="3"/>
      <c r="G89" s="3"/>
      <c r="H89" s="3"/>
      <c r="I89" s="3"/>
      <c r="J89" s="3"/>
      <c r="K89" s="10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.5" customHeight="1">
      <c r="A90" s="10"/>
      <c r="B90" s="3"/>
      <c r="C90" s="3"/>
      <c r="D90" s="3"/>
      <c r="E90" s="3"/>
      <c r="F90" s="3"/>
      <c r="G90" s="3"/>
      <c r="H90" s="3"/>
      <c r="I90" s="3"/>
      <c r="J90" s="3"/>
      <c r="K90" s="10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.5" customHeight="1">
      <c r="A91" s="10"/>
      <c r="B91" s="3"/>
      <c r="C91" s="3"/>
      <c r="D91" s="3"/>
      <c r="E91" s="3"/>
      <c r="F91" s="3"/>
      <c r="G91" s="3"/>
      <c r="H91" s="3"/>
      <c r="I91" s="3"/>
      <c r="J91" s="3"/>
      <c r="K91" s="10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.5" customHeight="1">
      <c r="A92" s="10"/>
      <c r="B92" s="3"/>
      <c r="C92" s="3"/>
      <c r="D92" s="3"/>
      <c r="E92" s="3"/>
      <c r="F92" s="3"/>
      <c r="G92" s="3"/>
      <c r="H92" s="3"/>
      <c r="I92" s="3"/>
      <c r="J92" s="3"/>
      <c r="K92" s="10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.5" customHeight="1">
      <c r="A93" s="10"/>
      <c r="B93" s="3"/>
      <c r="C93" s="3"/>
      <c r="D93" s="3"/>
      <c r="E93" s="3"/>
      <c r="F93" s="3"/>
      <c r="G93" s="3"/>
      <c r="H93" s="3"/>
      <c r="I93" s="3"/>
      <c r="J93" s="3"/>
      <c r="K93" s="10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.5" customHeight="1">
      <c r="A94" s="10"/>
      <c r="B94" s="3"/>
      <c r="C94" s="3"/>
      <c r="D94" s="3"/>
      <c r="E94" s="3"/>
      <c r="F94" s="3"/>
      <c r="G94" s="3"/>
      <c r="H94" s="3"/>
      <c r="I94" s="3"/>
      <c r="J94" s="3"/>
      <c r="K94" s="10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.5" customHeight="1">
      <c r="A95" s="10"/>
      <c r="B95" s="3"/>
      <c r="C95" s="3"/>
      <c r="D95" s="3"/>
      <c r="E95" s="3"/>
      <c r="F95" s="3"/>
      <c r="G95" s="3"/>
      <c r="H95" s="3"/>
      <c r="I95" s="3"/>
      <c r="J95" s="3"/>
      <c r="K95" s="10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.5" customHeight="1">
      <c r="A96" s="10"/>
      <c r="B96" s="3"/>
      <c r="C96" s="3"/>
      <c r="D96" s="3"/>
      <c r="E96" s="3"/>
      <c r="F96" s="3"/>
      <c r="G96" s="3"/>
      <c r="H96" s="3"/>
      <c r="I96" s="3"/>
      <c r="J96" s="3"/>
      <c r="K96" s="10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.5" customHeight="1">
      <c r="A97" s="10"/>
      <c r="B97" s="3"/>
      <c r="C97" s="3"/>
      <c r="D97" s="3"/>
      <c r="E97" s="3"/>
      <c r="F97" s="3"/>
      <c r="G97" s="3"/>
      <c r="H97" s="3"/>
      <c r="I97" s="3"/>
      <c r="J97" s="3"/>
      <c r="K97" s="10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.5" customHeight="1">
      <c r="A98" s="10"/>
      <c r="B98" s="3"/>
      <c r="C98" s="3"/>
      <c r="D98" s="3"/>
      <c r="E98" s="3"/>
      <c r="F98" s="3"/>
      <c r="G98" s="3"/>
      <c r="H98" s="3"/>
      <c r="I98" s="3"/>
      <c r="J98" s="3"/>
      <c r="K98" s="10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.5" customHeight="1">
      <c r="A99" s="10"/>
      <c r="B99" s="3"/>
      <c r="C99" s="3"/>
      <c r="D99" s="3"/>
      <c r="E99" s="3"/>
      <c r="F99" s="3"/>
      <c r="G99" s="3"/>
      <c r="H99" s="3"/>
      <c r="I99" s="3"/>
      <c r="J99" s="3"/>
      <c r="K99" s="10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.5" customHeight="1">
      <c r="A100" s="10"/>
      <c r="B100" s="3"/>
      <c r="C100" s="3"/>
      <c r="D100" s="3"/>
      <c r="E100" s="3"/>
      <c r="F100" s="3"/>
      <c r="G100" s="3"/>
      <c r="H100" s="3"/>
      <c r="I100" s="3"/>
      <c r="J100" s="3"/>
      <c r="K100" s="10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.5" customHeight="1">
      <c r="A101" s="10"/>
      <c r="B101" s="3"/>
      <c r="C101" s="3"/>
      <c r="D101" s="3"/>
      <c r="E101" s="3"/>
      <c r="F101" s="3"/>
      <c r="G101" s="3"/>
      <c r="H101" s="3"/>
      <c r="I101" s="3"/>
      <c r="J101" s="3"/>
      <c r="K101" s="10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.5" customHeight="1">
      <c r="A102" s="10"/>
      <c r="B102" s="3"/>
      <c r="C102" s="3"/>
      <c r="D102" s="3"/>
      <c r="E102" s="3"/>
      <c r="F102" s="3"/>
      <c r="G102" s="3"/>
      <c r="H102" s="3"/>
      <c r="I102" s="3"/>
      <c r="J102" s="3"/>
      <c r="K102" s="10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.5" customHeight="1">
      <c r="A103" s="10"/>
      <c r="B103" s="3"/>
      <c r="C103" s="3"/>
      <c r="D103" s="3"/>
      <c r="E103" s="3"/>
      <c r="F103" s="3"/>
      <c r="G103" s="3"/>
      <c r="H103" s="3"/>
      <c r="I103" s="3"/>
      <c r="J103" s="3"/>
      <c r="K103" s="10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.5" customHeight="1">
      <c r="A104" s="10"/>
      <c r="B104" s="3"/>
      <c r="C104" s="3"/>
      <c r="D104" s="3"/>
      <c r="E104" s="3"/>
      <c r="F104" s="3"/>
      <c r="G104" s="3"/>
      <c r="H104" s="3"/>
      <c r="I104" s="3"/>
      <c r="J104" s="3"/>
      <c r="K104" s="10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.5" customHeight="1">
      <c r="A105" s="10"/>
      <c r="B105" s="3"/>
      <c r="C105" s="3"/>
      <c r="D105" s="3"/>
      <c r="E105" s="3"/>
      <c r="F105" s="3"/>
      <c r="G105" s="3"/>
      <c r="H105" s="3"/>
      <c r="I105" s="3"/>
      <c r="J105" s="3"/>
      <c r="K105" s="10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.5" customHeight="1">
      <c r="A106" s="10"/>
      <c r="B106" s="3"/>
      <c r="C106" s="3"/>
      <c r="D106" s="3"/>
      <c r="E106" s="3"/>
      <c r="F106" s="3"/>
      <c r="G106" s="3"/>
      <c r="H106" s="3"/>
      <c r="I106" s="3"/>
      <c r="J106" s="3"/>
      <c r="K106" s="10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.5" customHeight="1">
      <c r="A107" s="10"/>
      <c r="B107" s="3"/>
      <c r="C107" s="3"/>
      <c r="D107" s="3"/>
      <c r="E107" s="3"/>
      <c r="F107" s="3"/>
      <c r="G107" s="3"/>
      <c r="H107" s="3"/>
      <c r="I107" s="3"/>
      <c r="J107" s="3"/>
      <c r="K107" s="10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.5" customHeight="1">
      <c r="A108" s="10"/>
      <c r="B108" s="3"/>
      <c r="C108" s="3"/>
      <c r="D108" s="3"/>
      <c r="E108" s="3"/>
      <c r="F108" s="3"/>
      <c r="G108" s="3"/>
      <c r="H108" s="3"/>
      <c r="I108" s="3"/>
      <c r="J108" s="3"/>
      <c r="K108" s="10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.5" customHeight="1">
      <c r="A109" s="10"/>
      <c r="B109" s="3"/>
      <c r="C109" s="3"/>
      <c r="D109" s="3"/>
      <c r="E109" s="3"/>
      <c r="F109" s="3"/>
      <c r="G109" s="3"/>
      <c r="H109" s="3"/>
      <c r="I109" s="3"/>
      <c r="J109" s="3"/>
      <c r="K109" s="10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.5" customHeight="1">
      <c r="A110" s="10"/>
      <c r="B110" s="3"/>
      <c r="C110" s="3"/>
      <c r="D110" s="3"/>
      <c r="E110" s="3"/>
      <c r="F110" s="3"/>
      <c r="G110" s="3"/>
      <c r="H110" s="3"/>
      <c r="I110" s="3"/>
      <c r="J110" s="3"/>
      <c r="K110" s="10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.5" customHeight="1">
      <c r="A111" s="10"/>
      <c r="B111" s="3"/>
      <c r="C111" s="3"/>
      <c r="D111" s="3"/>
      <c r="E111" s="3"/>
      <c r="F111" s="3"/>
      <c r="G111" s="3"/>
      <c r="H111" s="3"/>
      <c r="I111" s="3"/>
      <c r="J111" s="3"/>
      <c r="K111" s="10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.5" customHeight="1">
      <c r="A112" s="10"/>
      <c r="B112" s="3"/>
      <c r="C112" s="3"/>
      <c r="D112" s="3"/>
      <c r="E112" s="3"/>
      <c r="F112" s="3"/>
      <c r="G112" s="3"/>
      <c r="H112" s="3"/>
      <c r="I112" s="3"/>
      <c r="J112" s="3"/>
      <c r="K112" s="10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.5" customHeight="1">
      <c r="A113" s="10"/>
      <c r="B113" s="3"/>
      <c r="C113" s="3"/>
      <c r="D113" s="3"/>
      <c r="E113" s="3"/>
      <c r="F113" s="3"/>
      <c r="G113" s="3"/>
      <c r="H113" s="3"/>
      <c r="I113" s="3"/>
      <c r="J113" s="3"/>
      <c r="K113" s="10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.5" customHeight="1">
      <c r="A114" s="10"/>
      <c r="B114" s="3"/>
      <c r="C114" s="3"/>
      <c r="D114" s="3"/>
      <c r="E114" s="3"/>
      <c r="F114" s="3"/>
      <c r="G114" s="3"/>
      <c r="H114" s="3"/>
      <c r="I114" s="3"/>
      <c r="J114" s="3"/>
      <c r="K114" s="10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.5" customHeight="1">
      <c r="A115" s="10"/>
      <c r="B115" s="3"/>
      <c r="C115" s="3"/>
      <c r="D115" s="3"/>
      <c r="E115" s="3"/>
      <c r="F115" s="3"/>
      <c r="G115" s="3"/>
      <c r="H115" s="3"/>
      <c r="I115" s="3"/>
      <c r="J115" s="3"/>
      <c r="K115" s="10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.5" customHeight="1">
      <c r="A116" s="10"/>
      <c r="B116" s="3"/>
      <c r="C116" s="3"/>
      <c r="D116" s="3"/>
      <c r="E116" s="3"/>
      <c r="F116" s="3"/>
      <c r="G116" s="3"/>
      <c r="H116" s="3"/>
      <c r="I116" s="3"/>
      <c r="J116" s="3"/>
      <c r="K116" s="10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.5" customHeight="1">
      <c r="A117" s="10"/>
      <c r="B117" s="3"/>
      <c r="C117" s="3"/>
      <c r="D117" s="3"/>
      <c r="E117" s="3"/>
      <c r="F117" s="3"/>
      <c r="G117" s="3"/>
      <c r="H117" s="3"/>
      <c r="I117" s="3"/>
      <c r="J117" s="3"/>
      <c r="K117" s="10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.5" customHeight="1">
      <c r="A118" s="10"/>
      <c r="B118" s="3"/>
      <c r="C118" s="3"/>
      <c r="D118" s="3"/>
      <c r="E118" s="3"/>
      <c r="F118" s="3"/>
      <c r="G118" s="3"/>
      <c r="H118" s="3"/>
      <c r="I118" s="3"/>
      <c r="J118" s="3"/>
      <c r="K118" s="10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.5" customHeight="1">
      <c r="A119" s="10"/>
      <c r="B119" s="3"/>
      <c r="C119" s="3"/>
      <c r="D119" s="3"/>
      <c r="E119" s="3"/>
      <c r="F119" s="3"/>
      <c r="G119" s="3"/>
      <c r="H119" s="3"/>
      <c r="I119" s="3"/>
      <c r="J119" s="3"/>
      <c r="K119" s="10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.5" customHeight="1">
      <c r="A120" s="10"/>
      <c r="B120" s="3"/>
      <c r="C120" s="3"/>
      <c r="D120" s="3"/>
      <c r="E120" s="3"/>
      <c r="F120" s="3"/>
      <c r="G120" s="3"/>
      <c r="H120" s="3"/>
      <c r="I120" s="3"/>
      <c r="J120" s="3"/>
      <c r="K120" s="10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.5" customHeight="1">
      <c r="A121" s="10"/>
      <c r="B121" s="3"/>
      <c r="C121" s="3"/>
      <c r="D121" s="3"/>
      <c r="E121" s="3"/>
      <c r="F121" s="3"/>
      <c r="G121" s="3"/>
      <c r="H121" s="3"/>
      <c r="I121" s="3"/>
      <c r="J121" s="3"/>
      <c r="K121" s="10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.5" customHeight="1">
      <c r="A122" s="10"/>
      <c r="B122" s="3"/>
      <c r="C122" s="3"/>
      <c r="D122" s="3"/>
      <c r="E122" s="3"/>
      <c r="F122" s="3"/>
      <c r="G122" s="3"/>
      <c r="H122" s="3"/>
      <c r="I122" s="3"/>
      <c r="J122" s="3"/>
      <c r="K122" s="10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.5" customHeight="1">
      <c r="A123" s="10"/>
      <c r="B123" s="3"/>
      <c r="C123" s="3"/>
      <c r="D123" s="3"/>
      <c r="E123" s="3"/>
      <c r="F123" s="3"/>
      <c r="G123" s="3"/>
      <c r="H123" s="3"/>
      <c r="I123" s="3"/>
      <c r="J123" s="3"/>
      <c r="K123" s="10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.5" customHeight="1">
      <c r="A124" s="10"/>
      <c r="B124" s="3"/>
      <c r="C124" s="3"/>
      <c r="D124" s="3"/>
      <c r="E124" s="3"/>
      <c r="F124" s="3"/>
      <c r="G124" s="3"/>
      <c r="H124" s="3"/>
      <c r="I124" s="3"/>
      <c r="J124" s="3"/>
      <c r="K124" s="10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.5" customHeight="1">
      <c r="A125" s="10"/>
      <c r="B125" s="3"/>
      <c r="C125" s="3"/>
      <c r="D125" s="3"/>
      <c r="E125" s="3"/>
      <c r="F125" s="3"/>
      <c r="G125" s="3"/>
      <c r="H125" s="3"/>
      <c r="I125" s="3"/>
      <c r="J125" s="3"/>
      <c r="K125" s="10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.5" customHeight="1">
      <c r="A126" s="10"/>
      <c r="B126" s="3"/>
      <c r="C126" s="3"/>
      <c r="D126" s="3"/>
      <c r="E126" s="3"/>
      <c r="F126" s="3"/>
      <c r="G126" s="3"/>
      <c r="H126" s="3"/>
      <c r="I126" s="3"/>
      <c r="J126" s="3"/>
      <c r="K126" s="10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.5" customHeight="1">
      <c r="A127" s="10"/>
      <c r="B127" s="3"/>
      <c r="C127" s="3"/>
      <c r="D127" s="3"/>
      <c r="E127" s="3"/>
      <c r="F127" s="3"/>
      <c r="G127" s="3"/>
      <c r="H127" s="3"/>
      <c r="I127" s="3"/>
      <c r="J127" s="3"/>
      <c r="K127" s="10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.5" customHeight="1">
      <c r="A128" s="10"/>
      <c r="B128" s="3"/>
      <c r="C128" s="3"/>
      <c r="D128" s="3"/>
      <c r="E128" s="3"/>
      <c r="F128" s="3"/>
      <c r="G128" s="3"/>
      <c r="H128" s="3"/>
      <c r="I128" s="3"/>
      <c r="J128" s="3"/>
      <c r="K128" s="10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.5" customHeight="1">
      <c r="A129" s="10"/>
      <c r="B129" s="3"/>
      <c r="C129" s="3"/>
      <c r="D129" s="3"/>
      <c r="E129" s="3"/>
      <c r="F129" s="3"/>
      <c r="G129" s="3"/>
      <c r="H129" s="3"/>
      <c r="I129" s="3"/>
      <c r="J129" s="3"/>
      <c r="K129" s="10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.5" customHeight="1">
      <c r="A130" s="10"/>
      <c r="B130" s="3"/>
      <c r="C130" s="3"/>
      <c r="D130" s="3"/>
      <c r="E130" s="3"/>
      <c r="F130" s="3"/>
      <c r="G130" s="3"/>
      <c r="H130" s="3"/>
      <c r="I130" s="3"/>
      <c r="J130" s="3"/>
      <c r="K130" s="10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.5" customHeight="1">
      <c r="A131" s="10"/>
      <c r="B131" s="3"/>
      <c r="C131" s="3"/>
      <c r="D131" s="3"/>
      <c r="E131" s="3"/>
      <c r="F131" s="3"/>
      <c r="G131" s="3"/>
      <c r="H131" s="3"/>
      <c r="I131" s="3"/>
      <c r="J131" s="3"/>
      <c r="K131" s="10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.5" customHeight="1">
      <c r="A132" s="10"/>
      <c r="B132" s="3"/>
      <c r="C132" s="3"/>
      <c r="D132" s="3"/>
      <c r="E132" s="3"/>
      <c r="F132" s="3"/>
      <c r="G132" s="3"/>
      <c r="H132" s="3"/>
      <c r="I132" s="3"/>
      <c r="J132" s="3"/>
      <c r="K132" s="10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.5" customHeight="1">
      <c r="A133" s="10"/>
      <c r="B133" s="3"/>
      <c r="C133" s="3"/>
      <c r="D133" s="3"/>
      <c r="E133" s="3"/>
      <c r="F133" s="3"/>
      <c r="G133" s="3"/>
      <c r="H133" s="3"/>
      <c r="I133" s="3"/>
      <c r="J133" s="3"/>
      <c r="K133" s="10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.5" customHeight="1">
      <c r="A134" s="10"/>
      <c r="B134" s="3"/>
      <c r="C134" s="3"/>
      <c r="D134" s="3"/>
      <c r="E134" s="3"/>
      <c r="F134" s="3"/>
      <c r="G134" s="3"/>
      <c r="H134" s="3"/>
      <c r="I134" s="3"/>
      <c r="J134" s="3"/>
      <c r="K134" s="10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.5" customHeight="1">
      <c r="A135" s="10"/>
      <c r="B135" s="3"/>
      <c r="C135" s="3"/>
      <c r="D135" s="3"/>
      <c r="E135" s="3"/>
      <c r="F135" s="3"/>
      <c r="G135" s="3"/>
      <c r="H135" s="3"/>
      <c r="I135" s="3"/>
      <c r="J135" s="3"/>
      <c r="K135" s="10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.5" customHeight="1">
      <c r="A136" s="10"/>
      <c r="B136" s="3"/>
      <c r="C136" s="3"/>
      <c r="D136" s="3"/>
      <c r="E136" s="3"/>
      <c r="F136" s="3"/>
      <c r="G136" s="3"/>
      <c r="H136" s="3"/>
      <c r="I136" s="3"/>
      <c r="J136" s="3"/>
      <c r="K136" s="10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.5" customHeight="1">
      <c r="A137" s="10"/>
      <c r="B137" s="3"/>
      <c r="C137" s="3"/>
      <c r="D137" s="3"/>
      <c r="E137" s="3"/>
      <c r="F137" s="3"/>
      <c r="G137" s="3"/>
      <c r="H137" s="3"/>
      <c r="I137" s="3"/>
      <c r="J137" s="3"/>
      <c r="K137" s="10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.5" customHeight="1">
      <c r="A138" s="10"/>
      <c r="B138" s="3"/>
      <c r="C138" s="3"/>
      <c r="D138" s="3"/>
      <c r="E138" s="3"/>
      <c r="F138" s="3"/>
      <c r="G138" s="3"/>
      <c r="H138" s="3"/>
      <c r="I138" s="3"/>
      <c r="J138" s="3"/>
      <c r="K138" s="10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.5" customHeight="1">
      <c r="A139" s="10"/>
      <c r="B139" s="3"/>
      <c r="C139" s="3"/>
      <c r="D139" s="3"/>
      <c r="E139" s="3"/>
      <c r="F139" s="3"/>
      <c r="G139" s="3"/>
      <c r="H139" s="3"/>
      <c r="I139" s="3"/>
      <c r="J139" s="3"/>
      <c r="K139" s="10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.5" customHeight="1">
      <c r="A140" s="10"/>
      <c r="B140" s="3"/>
      <c r="C140" s="3"/>
      <c r="D140" s="3"/>
      <c r="E140" s="3"/>
      <c r="F140" s="3"/>
      <c r="G140" s="3"/>
      <c r="H140" s="3"/>
      <c r="I140" s="3"/>
      <c r="J140" s="3"/>
      <c r="K140" s="10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.5" customHeight="1">
      <c r="A141" s="10"/>
      <c r="B141" s="3"/>
      <c r="C141" s="3"/>
      <c r="D141" s="3"/>
      <c r="E141" s="3"/>
      <c r="F141" s="3"/>
      <c r="G141" s="3"/>
      <c r="H141" s="3"/>
      <c r="I141" s="3"/>
      <c r="J141" s="3"/>
      <c r="K141" s="10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.5" customHeight="1">
      <c r="A142" s="10"/>
      <c r="B142" s="3"/>
      <c r="C142" s="3"/>
      <c r="D142" s="3"/>
      <c r="E142" s="3"/>
      <c r="F142" s="3"/>
      <c r="G142" s="3"/>
      <c r="H142" s="3"/>
      <c r="I142" s="3"/>
      <c r="J142" s="3"/>
      <c r="K142" s="10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.5" customHeight="1">
      <c r="A143" s="10"/>
      <c r="B143" s="3"/>
      <c r="C143" s="3"/>
      <c r="D143" s="3"/>
      <c r="E143" s="3"/>
      <c r="F143" s="3"/>
      <c r="G143" s="3"/>
      <c r="H143" s="3"/>
      <c r="I143" s="3"/>
      <c r="J143" s="3"/>
      <c r="K143" s="10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.5" customHeight="1">
      <c r="A144" s="10"/>
      <c r="B144" s="3"/>
      <c r="C144" s="3"/>
      <c r="D144" s="3"/>
      <c r="E144" s="3"/>
      <c r="F144" s="3"/>
      <c r="G144" s="3"/>
      <c r="H144" s="3"/>
      <c r="I144" s="3"/>
      <c r="J144" s="3"/>
      <c r="K144" s="10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.5" customHeight="1">
      <c r="A145" s="10"/>
      <c r="B145" s="3"/>
      <c r="C145" s="3"/>
      <c r="D145" s="3"/>
      <c r="E145" s="3"/>
      <c r="F145" s="3"/>
      <c r="G145" s="3"/>
      <c r="H145" s="3"/>
      <c r="I145" s="3"/>
      <c r="J145" s="3"/>
      <c r="K145" s="10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.5" customHeight="1">
      <c r="A146" s="10"/>
      <c r="B146" s="3"/>
      <c r="C146" s="3"/>
      <c r="D146" s="3"/>
      <c r="E146" s="3"/>
      <c r="F146" s="3"/>
      <c r="G146" s="3"/>
      <c r="H146" s="3"/>
      <c r="I146" s="3"/>
      <c r="J146" s="3"/>
      <c r="K146" s="10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.5" customHeight="1">
      <c r="A147" s="10"/>
      <c r="B147" s="3"/>
      <c r="C147" s="3"/>
      <c r="D147" s="3"/>
      <c r="E147" s="3"/>
      <c r="F147" s="3"/>
      <c r="G147" s="3"/>
      <c r="H147" s="3"/>
      <c r="I147" s="3"/>
      <c r="J147" s="3"/>
      <c r="K147" s="10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.5" customHeight="1">
      <c r="A148" s="10"/>
      <c r="B148" s="3"/>
      <c r="C148" s="3"/>
      <c r="D148" s="3"/>
      <c r="E148" s="3"/>
      <c r="F148" s="3"/>
      <c r="G148" s="3"/>
      <c r="H148" s="3"/>
      <c r="I148" s="3"/>
      <c r="J148" s="3"/>
      <c r="K148" s="10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.5" customHeight="1">
      <c r="A149" s="10"/>
      <c r="B149" s="3"/>
      <c r="C149" s="3"/>
      <c r="D149" s="3"/>
      <c r="E149" s="3"/>
      <c r="F149" s="3"/>
      <c r="G149" s="3"/>
      <c r="H149" s="3"/>
      <c r="I149" s="3"/>
      <c r="J149" s="3"/>
      <c r="K149" s="10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.5" customHeight="1">
      <c r="A150" s="10"/>
      <c r="B150" s="3"/>
      <c r="C150" s="3"/>
      <c r="D150" s="3"/>
      <c r="E150" s="3"/>
      <c r="F150" s="3"/>
      <c r="G150" s="3"/>
      <c r="H150" s="3"/>
      <c r="I150" s="3"/>
      <c r="J150" s="3"/>
      <c r="K150" s="10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.5" customHeight="1">
      <c r="A151" s="10"/>
      <c r="B151" s="3"/>
      <c r="C151" s="3"/>
      <c r="D151" s="3"/>
      <c r="E151" s="3"/>
      <c r="F151" s="3"/>
      <c r="G151" s="3"/>
      <c r="H151" s="3"/>
      <c r="I151" s="3"/>
      <c r="J151" s="3"/>
      <c r="K151" s="10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.5" customHeight="1">
      <c r="A152" s="10"/>
      <c r="B152" s="3"/>
      <c r="C152" s="3"/>
      <c r="D152" s="3"/>
      <c r="E152" s="3"/>
      <c r="F152" s="3"/>
      <c r="G152" s="3"/>
      <c r="H152" s="3"/>
      <c r="I152" s="3"/>
      <c r="J152" s="3"/>
      <c r="K152" s="10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.5" customHeight="1">
      <c r="A153" s="10"/>
      <c r="B153" s="3"/>
      <c r="C153" s="3"/>
      <c r="D153" s="3"/>
      <c r="E153" s="3"/>
      <c r="F153" s="3"/>
      <c r="G153" s="3"/>
      <c r="H153" s="3"/>
      <c r="I153" s="3"/>
      <c r="J153" s="3"/>
      <c r="K153" s="10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.5" customHeight="1">
      <c r="A154" s="10"/>
      <c r="B154" s="3"/>
      <c r="C154" s="3"/>
      <c r="D154" s="3"/>
      <c r="E154" s="3"/>
      <c r="F154" s="3"/>
      <c r="G154" s="3"/>
      <c r="H154" s="3"/>
      <c r="I154" s="3"/>
      <c r="J154" s="3"/>
      <c r="K154" s="10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.5" customHeight="1">
      <c r="A155" s="10"/>
      <c r="B155" s="3"/>
      <c r="C155" s="3"/>
      <c r="D155" s="3"/>
      <c r="E155" s="3"/>
      <c r="F155" s="3"/>
      <c r="G155" s="3"/>
      <c r="H155" s="3"/>
      <c r="I155" s="3"/>
      <c r="J155" s="3"/>
      <c r="K155" s="10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.5" customHeight="1">
      <c r="A156" s="10"/>
      <c r="B156" s="3"/>
      <c r="C156" s="3"/>
      <c r="D156" s="3"/>
      <c r="E156" s="3"/>
      <c r="F156" s="3"/>
      <c r="G156" s="3"/>
      <c r="H156" s="3"/>
      <c r="I156" s="3"/>
      <c r="J156" s="3"/>
      <c r="K156" s="10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.5" customHeight="1">
      <c r="A157" s="10"/>
      <c r="B157" s="3"/>
      <c r="C157" s="3"/>
      <c r="D157" s="3"/>
      <c r="E157" s="3"/>
      <c r="F157" s="3"/>
      <c r="G157" s="3"/>
      <c r="H157" s="3"/>
      <c r="I157" s="3"/>
      <c r="J157" s="3"/>
      <c r="K157" s="10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.5" customHeight="1">
      <c r="A158" s="10"/>
      <c r="B158" s="3"/>
      <c r="C158" s="3"/>
      <c r="D158" s="3"/>
      <c r="E158" s="3"/>
      <c r="F158" s="3"/>
      <c r="G158" s="3"/>
      <c r="H158" s="3"/>
      <c r="I158" s="3"/>
      <c r="J158" s="3"/>
      <c r="K158" s="10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.5" customHeight="1">
      <c r="A159" s="10"/>
      <c r="B159" s="3"/>
      <c r="C159" s="3"/>
      <c r="D159" s="3"/>
      <c r="E159" s="3"/>
      <c r="F159" s="3"/>
      <c r="G159" s="3"/>
      <c r="H159" s="3"/>
      <c r="I159" s="3"/>
      <c r="J159" s="3"/>
      <c r="K159" s="10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.5" customHeight="1">
      <c r="A160" s="10"/>
      <c r="B160" s="3"/>
      <c r="C160" s="3"/>
      <c r="D160" s="3"/>
      <c r="E160" s="3"/>
      <c r="F160" s="3"/>
      <c r="G160" s="3"/>
      <c r="H160" s="3"/>
      <c r="I160" s="3"/>
      <c r="J160" s="3"/>
      <c r="K160" s="10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.5" customHeight="1">
      <c r="A161" s="10"/>
      <c r="B161" s="3"/>
      <c r="C161" s="3"/>
      <c r="D161" s="3"/>
      <c r="E161" s="3"/>
      <c r="F161" s="3"/>
      <c r="G161" s="3"/>
      <c r="H161" s="3"/>
      <c r="I161" s="3"/>
      <c r="J161" s="3"/>
      <c r="K161" s="10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.5" customHeight="1">
      <c r="A162" s="10"/>
      <c r="B162" s="3"/>
      <c r="C162" s="3"/>
      <c r="D162" s="3"/>
      <c r="E162" s="3"/>
      <c r="F162" s="3"/>
      <c r="G162" s="3"/>
      <c r="H162" s="3"/>
      <c r="I162" s="3"/>
      <c r="J162" s="3"/>
      <c r="K162" s="10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.5" customHeight="1">
      <c r="A163" s="10"/>
      <c r="B163" s="3"/>
      <c r="C163" s="3"/>
      <c r="D163" s="3"/>
      <c r="E163" s="3"/>
      <c r="F163" s="3"/>
      <c r="G163" s="3"/>
      <c r="H163" s="3"/>
      <c r="I163" s="3"/>
      <c r="J163" s="3"/>
      <c r="K163" s="10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.5" customHeight="1">
      <c r="A164" s="10"/>
      <c r="B164" s="3"/>
      <c r="C164" s="3"/>
      <c r="D164" s="3"/>
      <c r="E164" s="3"/>
      <c r="F164" s="3"/>
      <c r="G164" s="3"/>
      <c r="H164" s="3"/>
      <c r="I164" s="3"/>
      <c r="J164" s="3"/>
      <c r="K164" s="10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.5" customHeight="1">
      <c r="A165" s="10"/>
      <c r="B165" s="3"/>
      <c r="C165" s="3"/>
      <c r="D165" s="3"/>
      <c r="E165" s="3"/>
      <c r="F165" s="3"/>
      <c r="G165" s="3"/>
      <c r="H165" s="3"/>
      <c r="I165" s="3"/>
      <c r="J165" s="3"/>
      <c r="K165" s="10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.5" customHeight="1">
      <c r="A166" s="10"/>
      <c r="B166" s="3"/>
      <c r="C166" s="3"/>
      <c r="D166" s="3"/>
      <c r="E166" s="3"/>
      <c r="F166" s="3"/>
      <c r="G166" s="3"/>
      <c r="H166" s="3"/>
      <c r="I166" s="3"/>
      <c r="J166" s="3"/>
      <c r="K166" s="10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.5" customHeight="1">
      <c r="A167" s="10"/>
      <c r="B167" s="3"/>
      <c r="C167" s="3"/>
      <c r="D167" s="3"/>
      <c r="E167" s="3"/>
      <c r="F167" s="3"/>
      <c r="G167" s="3"/>
      <c r="H167" s="3"/>
      <c r="I167" s="3"/>
      <c r="J167" s="3"/>
      <c r="K167" s="10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.5" customHeight="1">
      <c r="A168" s="10"/>
      <c r="B168" s="3"/>
      <c r="C168" s="3"/>
      <c r="D168" s="3"/>
      <c r="E168" s="3"/>
      <c r="F168" s="3"/>
      <c r="G168" s="3"/>
      <c r="H168" s="3"/>
      <c r="I168" s="3"/>
      <c r="J168" s="3"/>
      <c r="K168" s="10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.5" customHeight="1">
      <c r="A169" s="10"/>
      <c r="B169" s="3"/>
      <c r="C169" s="3"/>
      <c r="D169" s="3"/>
      <c r="E169" s="3"/>
      <c r="F169" s="3"/>
      <c r="G169" s="3"/>
      <c r="H169" s="3"/>
      <c r="I169" s="3"/>
      <c r="J169" s="3"/>
      <c r="K169" s="10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.5" customHeight="1">
      <c r="A170" s="10"/>
      <c r="B170" s="3"/>
      <c r="C170" s="3"/>
      <c r="D170" s="3"/>
      <c r="E170" s="3"/>
      <c r="F170" s="3"/>
      <c r="G170" s="3"/>
      <c r="H170" s="3"/>
      <c r="I170" s="3"/>
      <c r="J170" s="3"/>
      <c r="K170" s="10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.5" customHeight="1">
      <c r="A171" s="10"/>
      <c r="B171" s="3"/>
      <c r="C171" s="3"/>
      <c r="D171" s="3"/>
      <c r="E171" s="3"/>
      <c r="F171" s="3"/>
      <c r="G171" s="3"/>
      <c r="H171" s="3"/>
      <c r="I171" s="3"/>
      <c r="J171" s="3"/>
      <c r="K171" s="10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.5" customHeight="1">
      <c r="A172" s="10"/>
      <c r="B172" s="3"/>
      <c r="C172" s="3"/>
      <c r="D172" s="3"/>
      <c r="E172" s="3"/>
      <c r="F172" s="3"/>
      <c r="G172" s="3"/>
      <c r="H172" s="3"/>
      <c r="I172" s="3"/>
      <c r="J172" s="3"/>
      <c r="K172" s="10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.5" customHeight="1">
      <c r="A173" s="10"/>
      <c r="B173" s="3"/>
      <c r="C173" s="3"/>
      <c r="D173" s="3"/>
      <c r="E173" s="3"/>
      <c r="F173" s="3"/>
      <c r="G173" s="3"/>
      <c r="H173" s="3"/>
      <c r="I173" s="3"/>
      <c r="J173" s="3"/>
      <c r="K173" s="10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.5" customHeight="1">
      <c r="A174" s="10"/>
      <c r="B174" s="3"/>
      <c r="C174" s="3"/>
      <c r="D174" s="3"/>
      <c r="E174" s="3"/>
      <c r="F174" s="3"/>
      <c r="G174" s="3"/>
      <c r="H174" s="3"/>
      <c r="I174" s="3"/>
      <c r="J174" s="3"/>
      <c r="K174" s="10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.5" customHeight="1">
      <c r="A175" s="10"/>
      <c r="B175" s="3"/>
      <c r="C175" s="3"/>
      <c r="D175" s="3"/>
      <c r="E175" s="3"/>
      <c r="F175" s="3"/>
      <c r="G175" s="3"/>
      <c r="H175" s="3"/>
      <c r="I175" s="3"/>
      <c r="J175" s="3"/>
      <c r="K175" s="10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.5" customHeight="1">
      <c r="A176" s="10"/>
      <c r="B176" s="3"/>
      <c r="C176" s="3"/>
      <c r="D176" s="3"/>
      <c r="E176" s="3"/>
      <c r="F176" s="3"/>
      <c r="G176" s="3"/>
      <c r="H176" s="3"/>
      <c r="I176" s="3"/>
      <c r="J176" s="3"/>
      <c r="K176" s="10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.5" customHeight="1">
      <c r="A177" s="10"/>
      <c r="B177" s="3"/>
      <c r="C177" s="3"/>
      <c r="D177" s="3"/>
      <c r="E177" s="3"/>
      <c r="F177" s="3"/>
      <c r="G177" s="3"/>
      <c r="H177" s="3"/>
      <c r="I177" s="3"/>
      <c r="J177" s="3"/>
      <c r="K177" s="10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.5" customHeight="1">
      <c r="A178" s="10"/>
      <c r="B178" s="3"/>
      <c r="C178" s="3"/>
      <c r="D178" s="3"/>
      <c r="E178" s="3"/>
      <c r="F178" s="3"/>
      <c r="G178" s="3"/>
      <c r="H178" s="3"/>
      <c r="I178" s="3"/>
      <c r="J178" s="3"/>
      <c r="K178" s="10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.5" customHeight="1">
      <c r="A179" s="10"/>
      <c r="B179" s="3"/>
      <c r="C179" s="3"/>
      <c r="D179" s="3"/>
      <c r="E179" s="3"/>
      <c r="F179" s="3"/>
      <c r="G179" s="3"/>
      <c r="H179" s="3"/>
      <c r="I179" s="3"/>
      <c r="J179" s="3"/>
      <c r="K179" s="10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.5" customHeight="1">
      <c r="A180" s="10"/>
      <c r="B180" s="3"/>
      <c r="C180" s="3"/>
      <c r="D180" s="3"/>
      <c r="E180" s="3"/>
      <c r="F180" s="3"/>
      <c r="G180" s="3"/>
      <c r="H180" s="3"/>
      <c r="I180" s="3"/>
      <c r="J180" s="3"/>
      <c r="K180" s="10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.5" customHeight="1">
      <c r="A181" s="10"/>
      <c r="B181" s="3"/>
      <c r="C181" s="3"/>
      <c r="D181" s="3"/>
      <c r="E181" s="3"/>
      <c r="F181" s="3"/>
      <c r="G181" s="3"/>
      <c r="H181" s="3"/>
      <c r="I181" s="3"/>
      <c r="J181" s="3"/>
      <c r="K181" s="10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.5" customHeight="1">
      <c r="A182" s="10"/>
      <c r="B182" s="3"/>
      <c r="C182" s="3"/>
      <c r="D182" s="3"/>
      <c r="E182" s="3"/>
      <c r="F182" s="3"/>
      <c r="G182" s="3"/>
      <c r="H182" s="3"/>
      <c r="I182" s="3"/>
      <c r="J182" s="3"/>
      <c r="K182" s="10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.5" customHeight="1">
      <c r="A183" s="10"/>
      <c r="B183" s="3"/>
      <c r="C183" s="3"/>
      <c r="D183" s="3"/>
      <c r="E183" s="3"/>
      <c r="F183" s="3"/>
      <c r="G183" s="3"/>
      <c r="H183" s="3"/>
      <c r="I183" s="3"/>
      <c r="J183" s="3"/>
      <c r="K183" s="10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.5" customHeight="1">
      <c r="A184" s="10"/>
      <c r="B184" s="3"/>
      <c r="C184" s="3"/>
      <c r="D184" s="3"/>
      <c r="E184" s="3"/>
      <c r="F184" s="3"/>
      <c r="G184" s="3"/>
      <c r="H184" s="3"/>
      <c r="I184" s="3"/>
      <c r="J184" s="3"/>
      <c r="K184" s="10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.5" customHeight="1">
      <c r="A185" s="10"/>
      <c r="B185" s="3"/>
      <c r="C185" s="3"/>
      <c r="D185" s="3"/>
      <c r="E185" s="3"/>
      <c r="F185" s="3"/>
      <c r="G185" s="3"/>
      <c r="H185" s="3"/>
      <c r="I185" s="3"/>
      <c r="J185" s="3"/>
      <c r="K185" s="10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.5" customHeight="1">
      <c r="A186" s="10"/>
      <c r="B186" s="3"/>
      <c r="C186" s="3"/>
      <c r="D186" s="3"/>
      <c r="E186" s="3"/>
      <c r="F186" s="3"/>
      <c r="G186" s="3"/>
      <c r="H186" s="3"/>
      <c r="I186" s="3"/>
      <c r="J186" s="3"/>
      <c r="K186" s="10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.5" customHeight="1">
      <c r="A187" s="10"/>
      <c r="B187" s="3"/>
      <c r="C187" s="3"/>
      <c r="D187" s="3"/>
      <c r="E187" s="3"/>
      <c r="F187" s="3"/>
      <c r="G187" s="3"/>
      <c r="H187" s="3"/>
      <c r="I187" s="3"/>
      <c r="J187" s="3"/>
      <c r="K187" s="10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.5" customHeight="1">
      <c r="A188" s="10"/>
      <c r="B188" s="3"/>
      <c r="C188" s="3"/>
      <c r="D188" s="3"/>
      <c r="E188" s="3"/>
      <c r="F188" s="3"/>
      <c r="G188" s="3"/>
      <c r="H188" s="3"/>
      <c r="I188" s="3"/>
      <c r="J188" s="3"/>
      <c r="K188" s="10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.5" customHeight="1">
      <c r="A189" s="10"/>
      <c r="B189" s="3"/>
      <c r="C189" s="3"/>
      <c r="D189" s="3"/>
      <c r="E189" s="3"/>
      <c r="F189" s="3"/>
      <c r="G189" s="3"/>
      <c r="H189" s="3"/>
      <c r="I189" s="3"/>
      <c r="J189" s="3"/>
      <c r="K189" s="10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.5" customHeight="1">
      <c r="A190" s="10"/>
      <c r="B190" s="3"/>
      <c r="C190" s="3"/>
      <c r="D190" s="3"/>
      <c r="E190" s="3"/>
      <c r="F190" s="3"/>
      <c r="G190" s="3"/>
      <c r="H190" s="3"/>
      <c r="I190" s="3"/>
      <c r="J190" s="3"/>
      <c r="K190" s="10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.5" customHeight="1">
      <c r="A191" s="10"/>
      <c r="B191" s="3"/>
      <c r="C191" s="3"/>
      <c r="D191" s="3"/>
      <c r="E191" s="3"/>
      <c r="F191" s="3"/>
      <c r="G191" s="3"/>
      <c r="H191" s="3"/>
      <c r="I191" s="3"/>
      <c r="J191" s="3"/>
      <c r="K191" s="10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.5" customHeight="1">
      <c r="A192" s="10"/>
      <c r="B192" s="3"/>
      <c r="C192" s="3"/>
      <c r="D192" s="3"/>
      <c r="E192" s="3"/>
      <c r="F192" s="3"/>
      <c r="G192" s="3"/>
      <c r="H192" s="3"/>
      <c r="I192" s="3"/>
      <c r="J192" s="3"/>
      <c r="K192" s="10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.5" customHeight="1">
      <c r="A193" s="10"/>
      <c r="B193" s="3"/>
      <c r="C193" s="3"/>
      <c r="D193" s="3"/>
      <c r="E193" s="3"/>
      <c r="F193" s="3"/>
      <c r="G193" s="3"/>
      <c r="H193" s="3"/>
      <c r="I193" s="3"/>
      <c r="J193" s="3"/>
      <c r="K193" s="10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.5" customHeight="1">
      <c r="A194" s="10"/>
      <c r="B194" s="3"/>
      <c r="C194" s="3"/>
      <c r="D194" s="3"/>
      <c r="E194" s="3"/>
      <c r="F194" s="3"/>
      <c r="G194" s="3"/>
      <c r="H194" s="3"/>
      <c r="I194" s="3"/>
      <c r="J194" s="3"/>
      <c r="K194" s="10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.5" customHeight="1">
      <c r="A195" s="10"/>
      <c r="B195" s="3"/>
      <c r="C195" s="3"/>
      <c r="D195" s="3"/>
      <c r="E195" s="3"/>
      <c r="F195" s="3"/>
      <c r="G195" s="3"/>
      <c r="H195" s="3"/>
      <c r="I195" s="3"/>
      <c r="J195" s="3"/>
      <c r="K195" s="10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.5" customHeight="1">
      <c r="A196" s="10"/>
      <c r="B196" s="3"/>
      <c r="C196" s="3"/>
      <c r="D196" s="3"/>
      <c r="E196" s="3"/>
      <c r="F196" s="3"/>
      <c r="G196" s="3"/>
      <c r="H196" s="3"/>
      <c r="I196" s="3"/>
      <c r="J196" s="3"/>
      <c r="K196" s="10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.5" customHeight="1">
      <c r="A197" s="10"/>
      <c r="B197" s="3"/>
      <c r="C197" s="3"/>
      <c r="D197" s="3"/>
      <c r="E197" s="3"/>
      <c r="F197" s="3"/>
      <c r="G197" s="3"/>
      <c r="H197" s="3"/>
      <c r="I197" s="3"/>
      <c r="J197" s="3"/>
      <c r="K197" s="10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.5" customHeight="1">
      <c r="A198" s="10"/>
      <c r="B198" s="3"/>
      <c r="C198" s="3"/>
      <c r="D198" s="3"/>
      <c r="E198" s="3"/>
      <c r="F198" s="3"/>
      <c r="G198" s="3"/>
      <c r="H198" s="3"/>
      <c r="I198" s="3"/>
      <c r="J198" s="3"/>
      <c r="K198" s="10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.5" customHeight="1">
      <c r="A199" s="10"/>
      <c r="B199" s="3"/>
      <c r="C199" s="3"/>
      <c r="D199" s="3"/>
      <c r="E199" s="3"/>
      <c r="F199" s="3"/>
      <c r="G199" s="3"/>
      <c r="H199" s="3"/>
      <c r="I199" s="3"/>
      <c r="J199" s="3"/>
      <c r="K199" s="10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.5" customHeight="1">
      <c r="A200" s="10"/>
      <c r="B200" s="3"/>
      <c r="C200" s="3"/>
      <c r="D200" s="3"/>
      <c r="E200" s="3"/>
      <c r="F200" s="3"/>
      <c r="G200" s="3"/>
      <c r="H200" s="3"/>
      <c r="I200" s="3"/>
      <c r="J200" s="3"/>
      <c r="K200" s="10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.5" customHeight="1">
      <c r="A201" s="10"/>
      <c r="B201" s="3"/>
      <c r="C201" s="3"/>
      <c r="D201" s="3"/>
      <c r="E201" s="3"/>
      <c r="F201" s="3"/>
      <c r="G201" s="3"/>
      <c r="H201" s="3"/>
      <c r="I201" s="3"/>
      <c r="J201" s="3"/>
      <c r="K201" s="10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.5" customHeight="1">
      <c r="A202" s="10"/>
      <c r="B202" s="3"/>
      <c r="C202" s="3"/>
      <c r="D202" s="3"/>
      <c r="E202" s="3"/>
      <c r="F202" s="3"/>
      <c r="G202" s="3"/>
      <c r="H202" s="3"/>
      <c r="I202" s="3"/>
      <c r="J202" s="3"/>
      <c r="K202" s="10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.5" customHeight="1">
      <c r="A203" s="10"/>
      <c r="B203" s="3"/>
      <c r="C203" s="3"/>
      <c r="D203" s="3"/>
      <c r="E203" s="3"/>
      <c r="F203" s="3"/>
      <c r="G203" s="3"/>
      <c r="H203" s="3"/>
      <c r="I203" s="3"/>
      <c r="J203" s="3"/>
      <c r="K203" s="10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.5" customHeight="1">
      <c r="A204" s="10"/>
      <c r="B204" s="3"/>
      <c r="C204" s="3"/>
      <c r="D204" s="3"/>
      <c r="E204" s="3"/>
      <c r="F204" s="3"/>
      <c r="G204" s="3"/>
      <c r="H204" s="3"/>
      <c r="I204" s="3"/>
      <c r="J204" s="3"/>
      <c r="K204" s="10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.5" customHeight="1">
      <c r="A205" s="10"/>
      <c r="B205" s="3"/>
      <c r="C205" s="3"/>
      <c r="D205" s="3"/>
      <c r="E205" s="3"/>
      <c r="F205" s="3"/>
      <c r="G205" s="3"/>
      <c r="H205" s="3"/>
      <c r="I205" s="3"/>
      <c r="J205" s="3"/>
      <c r="K205" s="10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.5" customHeight="1">
      <c r="A206" s="10"/>
      <c r="B206" s="3"/>
      <c r="C206" s="3"/>
      <c r="D206" s="3"/>
      <c r="E206" s="3"/>
      <c r="F206" s="3"/>
      <c r="G206" s="3"/>
      <c r="H206" s="3"/>
      <c r="I206" s="3"/>
      <c r="J206" s="3"/>
      <c r="K206" s="10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.5" customHeight="1">
      <c r="A207" s="10"/>
      <c r="B207" s="3"/>
      <c r="C207" s="3"/>
      <c r="D207" s="3"/>
      <c r="E207" s="3"/>
      <c r="F207" s="3"/>
      <c r="G207" s="3"/>
      <c r="H207" s="3"/>
      <c r="I207" s="3"/>
      <c r="J207" s="3"/>
      <c r="K207" s="10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.5" customHeight="1">
      <c r="A208" s="10"/>
      <c r="B208" s="3"/>
      <c r="C208" s="3"/>
      <c r="D208" s="3"/>
      <c r="E208" s="3"/>
      <c r="F208" s="3"/>
      <c r="G208" s="3"/>
      <c r="H208" s="3"/>
      <c r="I208" s="3"/>
      <c r="J208" s="3"/>
      <c r="K208" s="10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.5" customHeight="1">
      <c r="A209" s="10"/>
      <c r="B209" s="3"/>
      <c r="C209" s="3"/>
      <c r="D209" s="3"/>
      <c r="E209" s="3"/>
      <c r="F209" s="3"/>
      <c r="G209" s="3"/>
      <c r="H209" s="3"/>
      <c r="I209" s="3"/>
      <c r="J209" s="3"/>
      <c r="K209" s="10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.5" customHeight="1">
      <c r="A210" s="10"/>
      <c r="B210" s="3"/>
      <c r="C210" s="3"/>
      <c r="D210" s="3"/>
      <c r="E210" s="3"/>
      <c r="F210" s="3"/>
      <c r="G210" s="3"/>
      <c r="H210" s="3"/>
      <c r="I210" s="3"/>
      <c r="J210" s="3"/>
      <c r="K210" s="10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.5" customHeight="1">
      <c r="A211" s="10"/>
      <c r="B211" s="3"/>
      <c r="C211" s="3"/>
      <c r="D211" s="3"/>
      <c r="E211" s="3"/>
      <c r="F211" s="3"/>
      <c r="G211" s="3"/>
      <c r="H211" s="3"/>
      <c r="I211" s="3"/>
      <c r="J211" s="3"/>
      <c r="K211" s="10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.5" customHeight="1">
      <c r="A212" s="10"/>
      <c r="B212" s="3"/>
      <c r="C212" s="3"/>
      <c r="D212" s="3"/>
      <c r="E212" s="3"/>
      <c r="F212" s="3"/>
      <c r="G212" s="3"/>
      <c r="H212" s="3"/>
      <c r="I212" s="3"/>
      <c r="J212" s="3"/>
      <c r="K212" s="10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.5" customHeight="1">
      <c r="A213" s="10"/>
      <c r="B213" s="3"/>
      <c r="C213" s="3"/>
      <c r="D213" s="3"/>
      <c r="E213" s="3"/>
      <c r="F213" s="3"/>
      <c r="G213" s="3"/>
      <c r="H213" s="3"/>
      <c r="I213" s="3"/>
      <c r="J213" s="3"/>
      <c r="K213" s="10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.5" customHeight="1">
      <c r="A214" s="10"/>
      <c r="B214" s="3"/>
      <c r="C214" s="3"/>
      <c r="D214" s="3"/>
      <c r="E214" s="3"/>
      <c r="F214" s="3"/>
      <c r="G214" s="3"/>
      <c r="H214" s="3"/>
      <c r="I214" s="3"/>
      <c r="J214" s="3"/>
      <c r="K214" s="10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.5" customHeight="1">
      <c r="A215" s="10"/>
      <c r="B215" s="3"/>
      <c r="C215" s="3"/>
      <c r="D215" s="3"/>
      <c r="E215" s="3"/>
      <c r="F215" s="3"/>
      <c r="G215" s="3"/>
      <c r="H215" s="3"/>
      <c r="I215" s="3"/>
      <c r="J215" s="3"/>
      <c r="K215" s="10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.5" customHeight="1">
      <c r="A216" s="10"/>
      <c r="B216" s="3"/>
      <c r="C216" s="3"/>
      <c r="D216" s="3"/>
      <c r="E216" s="3"/>
      <c r="F216" s="3"/>
      <c r="G216" s="3"/>
      <c r="H216" s="3"/>
      <c r="I216" s="3"/>
      <c r="J216" s="3"/>
      <c r="K216" s="10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.5" customHeight="1">
      <c r="A217" s="10"/>
      <c r="B217" s="3"/>
      <c r="C217" s="3"/>
      <c r="D217" s="3"/>
      <c r="E217" s="3"/>
      <c r="F217" s="3"/>
      <c r="G217" s="3"/>
      <c r="H217" s="3"/>
      <c r="I217" s="3"/>
      <c r="J217" s="3"/>
      <c r="K217" s="10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.5" customHeight="1">
      <c r="A218" s="10"/>
      <c r="B218" s="3"/>
      <c r="C218" s="3"/>
      <c r="D218" s="3"/>
      <c r="E218" s="3"/>
      <c r="F218" s="3"/>
      <c r="G218" s="3"/>
      <c r="H218" s="3"/>
      <c r="I218" s="3"/>
      <c r="J218" s="3"/>
      <c r="K218" s="10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.5" customHeight="1">
      <c r="A219" s="10"/>
      <c r="B219" s="3"/>
      <c r="C219" s="3"/>
      <c r="D219" s="3"/>
      <c r="E219" s="3"/>
      <c r="F219" s="3"/>
      <c r="G219" s="3"/>
      <c r="H219" s="3"/>
      <c r="I219" s="3"/>
      <c r="J219" s="3"/>
      <c r="K219" s="10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.5" customHeight="1">
      <c r="A220" s="10"/>
      <c r="B220" s="3"/>
      <c r="C220" s="3"/>
      <c r="D220" s="3"/>
      <c r="E220" s="3"/>
      <c r="F220" s="3"/>
      <c r="G220" s="3"/>
      <c r="H220" s="3"/>
      <c r="I220" s="3"/>
      <c r="J220" s="3"/>
      <c r="K220" s="10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.5" customHeight="1">
      <c r="A221" s="10"/>
      <c r="B221" s="3"/>
      <c r="C221" s="3"/>
      <c r="D221" s="3"/>
      <c r="E221" s="3"/>
      <c r="F221" s="3"/>
      <c r="G221" s="3"/>
      <c r="H221" s="3"/>
      <c r="I221" s="3"/>
      <c r="J221" s="3"/>
      <c r="K221" s="10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.5" customHeight="1">
      <c r="A222" s="10"/>
      <c r="B222" s="3"/>
      <c r="C222" s="3"/>
      <c r="D222" s="3"/>
      <c r="E222" s="3"/>
      <c r="F222" s="3"/>
      <c r="G222" s="3"/>
      <c r="H222" s="3"/>
      <c r="I222" s="3"/>
      <c r="J222" s="3"/>
      <c r="K222" s="10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.5" customHeight="1">
      <c r="A223" s="10"/>
      <c r="B223" s="3"/>
      <c r="C223" s="3"/>
      <c r="D223" s="3"/>
      <c r="E223" s="3"/>
      <c r="F223" s="3"/>
      <c r="G223" s="3"/>
      <c r="H223" s="3"/>
      <c r="I223" s="3"/>
      <c r="J223" s="3"/>
      <c r="K223" s="10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.5" customHeight="1">
      <c r="A224" s="10"/>
      <c r="B224" s="3"/>
      <c r="C224" s="3"/>
      <c r="D224" s="3"/>
      <c r="E224" s="3"/>
      <c r="F224" s="3"/>
      <c r="G224" s="3"/>
      <c r="H224" s="3"/>
      <c r="I224" s="3"/>
      <c r="J224" s="3"/>
      <c r="K224" s="10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.5" customHeight="1">
      <c r="A225" s="10"/>
      <c r="B225" s="3"/>
      <c r="C225" s="3"/>
      <c r="D225" s="3"/>
      <c r="E225" s="3"/>
      <c r="F225" s="3"/>
      <c r="G225" s="3"/>
      <c r="H225" s="3"/>
      <c r="I225" s="3"/>
      <c r="J225" s="3"/>
      <c r="K225" s="10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.5" customHeight="1">
      <c r="A226" s="10"/>
      <c r="B226" s="3"/>
      <c r="C226" s="3"/>
      <c r="D226" s="3"/>
      <c r="E226" s="3"/>
      <c r="F226" s="3"/>
      <c r="G226" s="3"/>
      <c r="H226" s="3"/>
      <c r="I226" s="3"/>
      <c r="J226" s="3"/>
      <c r="K226" s="10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.5" customHeight="1">
      <c r="A227" s="10"/>
      <c r="B227" s="3"/>
      <c r="C227" s="3"/>
      <c r="D227" s="3"/>
      <c r="E227" s="3"/>
      <c r="F227" s="3"/>
      <c r="G227" s="3"/>
      <c r="H227" s="3"/>
      <c r="I227" s="3"/>
      <c r="J227" s="3"/>
      <c r="K227" s="10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.5" customHeight="1">
      <c r="A228" s="10"/>
      <c r="B228" s="3"/>
      <c r="C228" s="3"/>
      <c r="D228" s="3"/>
      <c r="E228" s="3"/>
      <c r="F228" s="3"/>
      <c r="G228" s="3"/>
      <c r="H228" s="3"/>
      <c r="I228" s="3"/>
      <c r="J228" s="3"/>
      <c r="K228" s="10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.5" customHeight="1">
      <c r="A229" s="10"/>
      <c r="B229" s="3"/>
      <c r="C229" s="3"/>
      <c r="D229" s="3"/>
      <c r="E229" s="3"/>
      <c r="F229" s="3"/>
      <c r="G229" s="3"/>
      <c r="H229" s="3"/>
      <c r="I229" s="3"/>
      <c r="J229" s="3"/>
      <c r="K229" s="10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.5" customHeight="1">
      <c r="A230" s="10"/>
      <c r="B230" s="3"/>
      <c r="C230" s="3"/>
      <c r="D230" s="3"/>
      <c r="E230" s="3"/>
      <c r="F230" s="3"/>
      <c r="G230" s="3"/>
      <c r="H230" s="3"/>
      <c r="I230" s="3"/>
      <c r="J230" s="3"/>
      <c r="K230" s="10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.5" customHeight="1">
      <c r="A231" s="10"/>
      <c r="B231" s="3"/>
      <c r="C231" s="3"/>
      <c r="D231" s="3"/>
      <c r="E231" s="3"/>
      <c r="F231" s="3"/>
      <c r="G231" s="3"/>
      <c r="H231" s="3"/>
      <c r="I231" s="3"/>
      <c r="J231" s="3"/>
      <c r="K231" s="10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.5" customHeight="1">
      <c r="A232" s="10"/>
      <c r="B232" s="3"/>
      <c r="C232" s="3"/>
      <c r="D232" s="3"/>
      <c r="E232" s="3"/>
      <c r="F232" s="3"/>
      <c r="G232" s="3"/>
      <c r="H232" s="3"/>
      <c r="I232" s="3"/>
      <c r="J232" s="3"/>
      <c r="K232" s="10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.5" customHeight="1">
      <c r="A233" s="10"/>
      <c r="B233" s="3"/>
      <c r="C233" s="3"/>
      <c r="D233" s="3"/>
      <c r="E233" s="3"/>
      <c r="F233" s="3"/>
      <c r="G233" s="3"/>
      <c r="H233" s="3"/>
      <c r="I233" s="3"/>
      <c r="J233" s="3"/>
      <c r="K233" s="10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.5" customHeight="1">
      <c r="A234" s="10"/>
      <c r="B234" s="3"/>
      <c r="C234" s="3"/>
      <c r="D234" s="3"/>
      <c r="E234" s="3"/>
      <c r="F234" s="3"/>
      <c r="G234" s="3"/>
      <c r="H234" s="3"/>
      <c r="I234" s="3"/>
      <c r="J234" s="3"/>
      <c r="K234" s="10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.5" customHeight="1">
      <c r="A235" s="10"/>
      <c r="B235" s="3"/>
      <c r="C235" s="3"/>
      <c r="D235" s="3"/>
      <c r="E235" s="3"/>
      <c r="F235" s="3"/>
      <c r="G235" s="3"/>
      <c r="H235" s="3"/>
      <c r="I235" s="3"/>
      <c r="J235" s="3"/>
      <c r="K235" s="10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.5" customHeight="1">
      <c r="A236" s="10"/>
      <c r="B236" s="3"/>
      <c r="C236" s="3"/>
      <c r="D236" s="3"/>
      <c r="E236" s="3"/>
      <c r="F236" s="3"/>
      <c r="G236" s="3"/>
      <c r="H236" s="3"/>
      <c r="I236" s="3"/>
      <c r="J236" s="3"/>
      <c r="K236" s="10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.5" customHeight="1">
      <c r="A237" s="10"/>
      <c r="B237" s="3"/>
      <c r="C237" s="3"/>
      <c r="D237" s="3"/>
      <c r="E237" s="3"/>
      <c r="F237" s="3"/>
      <c r="G237" s="3"/>
      <c r="H237" s="3"/>
      <c r="I237" s="3"/>
      <c r="J237" s="3"/>
      <c r="K237" s="10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.5" customHeight="1">
      <c r="A238" s="10"/>
      <c r="B238" s="3"/>
      <c r="C238" s="3"/>
      <c r="D238" s="3"/>
      <c r="E238" s="3"/>
      <c r="F238" s="3"/>
      <c r="G238" s="3"/>
      <c r="H238" s="3"/>
      <c r="I238" s="3"/>
      <c r="J238" s="3"/>
      <c r="K238" s="10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.5" customHeight="1">
      <c r="A239" s="10"/>
      <c r="B239" s="3"/>
      <c r="C239" s="3"/>
      <c r="D239" s="3"/>
      <c r="E239" s="3"/>
      <c r="F239" s="3"/>
      <c r="G239" s="3"/>
      <c r="H239" s="3"/>
      <c r="I239" s="3"/>
      <c r="J239" s="3"/>
      <c r="K239" s="10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.5" customHeight="1">
      <c r="A240" s="10"/>
      <c r="B240" s="3"/>
      <c r="C240" s="3"/>
      <c r="D240" s="3"/>
      <c r="E240" s="3"/>
      <c r="F240" s="3"/>
      <c r="G240" s="3"/>
      <c r="H240" s="3"/>
      <c r="I240" s="3"/>
      <c r="J240" s="3"/>
      <c r="K240" s="10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.5" customHeight="1">
      <c r="A241" s="10"/>
      <c r="B241" s="3"/>
      <c r="C241" s="3"/>
      <c r="D241" s="3"/>
      <c r="E241" s="3"/>
      <c r="F241" s="3"/>
      <c r="G241" s="3"/>
      <c r="H241" s="3"/>
      <c r="I241" s="3"/>
      <c r="J241" s="3"/>
      <c r="K241" s="10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.5" customHeight="1">
      <c r="A242" s="10"/>
      <c r="B242" s="3"/>
      <c r="C242" s="3"/>
      <c r="D242" s="3"/>
      <c r="E242" s="3"/>
      <c r="F242" s="3"/>
      <c r="G242" s="3"/>
      <c r="H242" s="3"/>
      <c r="I242" s="3"/>
      <c r="J242" s="3"/>
      <c r="K242" s="10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.5" customHeight="1">
      <c r="A243" s="10"/>
      <c r="B243" s="3"/>
      <c r="C243" s="3"/>
      <c r="D243" s="3"/>
      <c r="E243" s="3"/>
      <c r="F243" s="3"/>
      <c r="G243" s="3"/>
      <c r="H243" s="3"/>
      <c r="I243" s="3"/>
      <c r="J243" s="3"/>
      <c r="K243" s="10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.5" customHeight="1">
      <c r="A244" s="10"/>
      <c r="B244" s="3"/>
      <c r="C244" s="3"/>
      <c r="D244" s="3"/>
      <c r="E244" s="3"/>
      <c r="F244" s="3"/>
      <c r="G244" s="3"/>
      <c r="H244" s="3"/>
      <c r="I244" s="3"/>
      <c r="J244" s="3"/>
      <c r="K244" s="10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.5" customHeight="1">
      <c r="A245" s="10"/>
      <c r="B245" s="3"/>
      <c r="C245" s="3"/>
      <c r="D245" s="3"/>
      <c r="E245" s="3"/>
      <c r="F245" s="3"/>
      <c r="G245" s="3"/>
      <c r="H245" s="3"/>
      <c r="I245" s="3"/>
      <c r="J245" s="3"/>
      <c r="K245" s="10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.5" customHeight="1">
      <c r="A246" s="10"/>
      <c r="B246" s="3"/>
      <c r="C246" s="3"/>
      <c r="D246" s="3"/>
      <c r="E246" s="3"/>
      <c r="F246" s="3"/>
      <c r="G246" s="3"/>
      <c r="H246" s="3"/>
      <c r="I246" s="3"/>
      <c r="J246" s="3"/>
      <c r="K246" s="10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.5" customHeight="1">
      <c r="A247" s="10"/>
      <c r="B247" s="3"/>
      <c r="C247" s="3"/>
      <c r="D247" s="3"/>
      <c r="E247" s="3"/>
      <c r="F247" s="3"/>
      <c r="G247" s="3"/>
      <c r="H247" s="3"/>
      <c r="I247" s="3"/>
      <c r="J247" s="3"/>
      <c r="K247" s="10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.5" customHeight="1">
      <c r="A248" s="10"/>
      <c r="B248" s="3"/>
      <c r="C248" s="3"/>
      <c r="D248" s="3"/>
      <c r="E248" s="3"/>
      <c r="F248" s="3"/>
      <c r="G248" s="3"/>
      <c r="H248" s="3"/>
      <c r="I248" s="3"/>
      <c r="J248" s="3"/>
      <c r="K248" s="10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.5" customHeight="1">
      <c r="A249" s="10"/>
      <c r="B249" s="3"/>
      <c r="C249" s="3"/>
      <c r="D249" s="3"/>
      <c r="E249" s="3"/>
      <c r="F249" s="3"/>
      <c r="G249" s="3"/>
      <c r="H249" s="3"/>
      <c r="I249" s="3"/>
      <c r="J249" s="3"/>
      <c r="K249" s="10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.5" customHeight="1">
      <c r="A250" s="10"/>
      <c r="B250" s="3"/>
      <c r="C250" s="3"/>
      <c r="D250" s="3"/>
      <c r="E250" s="3"/>
      <c r="F250" s="3"/>
      <c r="G250" s="3"/>
      <c r="H250" s="3"/>
      <c r="I250" s="3"/>
      <c r="J250" s="3"/>
      <c r="K250" s="10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5.75" customHeight="1"/>
    <row r="252" spans="1:29" ht="15.75" customHeight="1"/>
    <row r="253" spans="1:29" ht="15.75" customHeight="1"/>
    <row r="254" spans="1:29" ht="15.75" customHeight="1"/>
    <row r="255" spans="1:29" ht="15.75" customHeight="1"/>
    <row r="256" spans="1:2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9">
    <mergeCell ref="C3:G3"/>
    <mergeCell ref="H26:I26"/>
    <mergeCell ref="C5:E5"/>
    <mergeCell ref="G47:H47"/>
    <mergeCell ref="H24:I24"/>
    <mergeCell ref="H18:I18"/>
    <mergeCell ref="H33:I33"/>
    <mergeCell ref="H8:I8"/>
    <mergeCell ref="A50:E50"/>
    <mergeCell ref="H16:I16"/>
    <mergeCell ref="A5:B5"/>
    <mergeCell ref="G40:I40"/>
    <mergeCell ref="F22:G22"/>
    <mergeCell ref="H22:I22"/>
    <mergeCell ref="F14:G14"/>
    <mergeCell ref="H30:I30"/>
    <mergeCell ref="F11:G11"/>
    <mergeCell ref="H20:I20"/>
    <mergeCell ref="H29:I29"/>
    <mergeCell ref="F12:G12"/>
    <mergeCell ref="F24:G24"/>
    <mergeCell ref="F32:G32"/>
    <mergeCell ref="F26:G26"/>
    <mergeCell ref="F35:G35"/>
    <mergeCell ref="A1:I1"/>
    <mergeCell ref="H14:I14"/>
    <mergeCell ref="H38:I38"/>
    <mergeCell ref="H31:I31"/>
    <mergeCell ref="L47:M47"/>
    <mergeCell ref="F7:G7"/>
    <mergeCell ref="F21:G21"/>
    <mergeCell ref="H21:I21"/>
    <mergeCell ref="G45:I45"/>
    <mergeCell ref="F36:G36"/>
    <mergeCell ref="A3:B3"/>
    <mergeCell ref="F8:G8"/>
    <mergeCell ref="A4:B4"/>
    <mergeCell ref="K7:L7"/>
    <mergeCell ref="C4:E4"/>
    <mergeCell ref="F38:G38"/>
    <mergeCell ref="K4:M4"/>
    <mergeCell ref="F31:G31"/>
    <mergeCell ref="H19:I19"/>
    <mergeCell ref="F28:G28"/>
    <mergeCell ref="H28:I28"/>
    <mergeCell ref="F9:G9"/>
    <mergeCell ref="H12:I12"/>
    <mergeCell ref="H7:I7"/>
    <mergeCell ref="F27:G27"/>
    <mergeCell ref="H27:I27"/>
    <mergeCell ref="H50:I50"/>
    <mergeCell ref="K45:O45"/>
    <mergeCell ref="H34:I34"/>
    <mergeCell ref="H25:I25"/>
    <mergeCell ref="F30:G30"/>
    <mergeCell ref="F33:G33"/>
    <mergeCell ref="H36:I36"/>
    <mergeCell ref="G43:I43"/>
    <mergeCell ref="F50:G50"/>
    <mergeCell ref="H32:I32"/>
    <mergeCell ref="F37:G37"/>
    <mergeCell ref="L5:M5"/>
    <mergeCell ref="K43:O43"/>
    <mergeCell ref="F23:G23"/>
    <mergeCell ref="H37:I37"/>
    <mergeCell ref="K3:M3"/>
    <mergeCell ref="F13:G13"/>
    <mergeCell ref="H13:I13"/>
    <mergeCell ref="H15:I15"/>
    <mergeCell ref="H23:I23"/>
    <mergeCell ref="F10:G10"/>
    <mergeCell ref="F19:G19"/>
    <mergeCell ref="F34:G34"/>
    <mergeCell ref="F20:G20"/>
    <mergeCell ref="F18:G18"/>
    <mergeCell ref="F17:G17"/>
    <mergeCell ref="H17:I17"/>
    <mergeCell ref="H9:I9"/>
    <mergeCell ref="A7:B7"/>
    <mergeCell ref="F15:G15"/>
    <mergeCell ref="C41:D41"/>
    <mergeCell ref="M41:O41"/>
    <mergeCell ref="C40:D40"/>
    <mergeCell ref="H11:I11"/>
    <mergeCell ref="H35:I35"/>
    <mergeCell ref="F29:G29"/>
    <mergeCell ref="F16:G16"/>
    <mergeCell ref="H10:I10"/>
    <mergeCell ref="F25:G25"/>
  </mergeCells>
  <phoneticPr fontId="14"/>
  <conditionalFormatting sqref="A8:O38 S8:U38 P8:R39">
    <cfRule type="expression" dxfId="0" priority="1">
      <formula>IF(OR(WEEKDAY($K8,2)&gt;5,$J8="*"),TRUE,FALSE)=TRUE</formula>
    </cfRule>
  </conditionalFormatting>
  <pageMargins left="0.59055118110236227" right="0.9519104419838853" top="0.78740157480314965" bottom="0.39370078740157483" header="0" footer="0"/>
  <pageSetup paperSize="9" scale="46" orientation="portrait"/>
  <headerFooter>
    <oddHeader>&amp;C&amp;A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作業実施報告書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智春 小尾</cp:lastModifiedBy>
  <dcterms:created xsi:type="dcterms:W3CDTF">2022-08-30T07:47:12Z</dcterms:created>
  <dcterms:modified xsi:type="dcterms:W3CDTF">2026-04-19T07:07:26Z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0x010100DC4AB9B4DAFACE439777A1D66AF87B3F</vt:lpwstr>
  </property>
  <property fmtid="{D5CDD505-2E9C-101B-9397-08002B2CF9AE}" pid="3" name="MediaServiceImageTags">
    <vt:lpwstr/>
  </property>
</Properties>
</file>